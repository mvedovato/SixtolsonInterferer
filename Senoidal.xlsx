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<sst xmlns="http://schemas.openxmlformats.org/spreadsheetml/2006/main" count="90" uniqueCount="33">
  <si>
    <t xml:space="preserve">1 Intervalo pi/10</t>
  </si>
  <si>
    <t xml:space="preserve">100% área 1 intervalo</t>
  </si>
  <si>
    <t xml:space="preserve">Intervalo</t>
  </si>
  <si>
    <t xml:space="preserve">Área aprox</t>
  </si>
  <si>
    <t xml:space="preserve">%del total</t>
  </si>
  <si>
    <t xml:space="preserve">Cuentas Timer Aprox</t>
  </si>
  <si>
    <t xml:space="preserve">Senx</t>
  </si>
  <si>
    <t xml:space="preserve">integral Senx</t>
  </si>
  <si>
    <t xml:space="preserve">full pwm</t>
  </si>
  <si>
    <t xml:space="preserve">%Área</t>
  </si>
  <si>
    <t xml:space="preserve">fc</t>
  </si>
  <si>
    <t xml:space="preserve">Nombre</t>
  </si>
  <si>
    <t xml:space="preserve">Intervalo 1</t>
  </si>
  <si>
    <t xml:space="preserve">Intervalo 2</t>
  </si>
  <si>
    <t xml:space="preserve">Intervalo 3</t>
  </si>
  <si>
    <t xml:space="preserve">Intervalo 4</t>
  </si>
  <si>
    <t xml:space="preserve">Intervalo 5</t>
  </si>
  <si>
    <t xml:space="preserve">Intervalo 6</t>
  </si>
  <si>
    <t xml:space="preserve">Intervalo 7</t>
  </si>
  <si>
    <t xml:space="preserve">Intervalo 8</t>
  </si>
  <si>
    <t xml:space="preserve">Intervalo 9</t>
  </si>
  <si>
    <t xml:space="preserve">Intervalo 10</t>
  </si>
  <si>
    <t xml:space="preserve">R C</t>
  </si>
  <si>
    <t xml:space="preserve">Ind intervalo</t>
  </si>
  <si>
    <t xml:space="preserve">R = 10K -- C =</t>
  </si>
  <si>
    <t xml:space="preserve">330nF</t>
  </si>
  <si>
    <t xml:space="preserve">Cuentas Timer</t>
  </si>
  <si>
    <t xml:space="preserve">R C real</t>
  </si>
  <si>
    <t xml:space="preserve">10000</t>
  </si>
  <si>
    <t xml:space="preserve">[us]</t>
  </si>
  <si>
    <t xml:space="preserve">Duty</t>
  </si>
  <si>
    <t xml:space="preserve">Vector Dutys</t>
  </si>
  <si>
    <t xml:space="preserve">Idem enteros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</si>
</sst>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 %"/>
    <numFmt numFmtId="166" formatCode="0.00"/>
    <numFmt numFmtId="167" formatCode="0"/>
    <numFmt numFmtId="168" formatCode="0.00%"/>
  </numFmts>
  <fonts count="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6.4"/>
      <color rgb="FF2E3436"/>
      <name val="Cantarell"/>
      <family val="0"/>
    </font>
    <font>
      <sz val="14"/>
      <color rgb="FF595959"/>
      <name val="Arial"/>
      <family val="2"/>
    </font>
    <font>
      <sz val="9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1DAFF"/>
        <bgColor rgb="FFD9D9D9"/>
      </patternFill>
    </fill>
    <fill>
      <patternFill patternType="solid">
        <fgColor rgb="FFE5E7E8"/>
        <bgColor rgb="FFD9D9D9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>
        <color rgb="FF003E76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3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ieldentry" xfId="20"/>
    <cellStyle name="Heading level" xfId="21"/>
    <cellStyle name="Label" xfId="22"/>
    <cellStyle name="Separation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5E7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1DA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E76"/>
      <rgbColor rgb="FF339966"/>
      <rgbColor rgb="FF003300"/>
      <rgbColor rgb="FF333300"/>
      <rgbColor rgb="FF993300"/>
      <rgbColor rgb="FF993366"/>
      <rgbColor rgb="FF333399"/>
      <rgbColor rgb="FF2E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AR" sz="14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  <a:r>
              <a:rPr b="0" lang="es-AR" sz="1400" spc="-1" strike="noStrike">
                <a:solidFill>
                  <a:srgbClr val="595959"/>
                </a:solidFill>
                <a:latin typeface="Arial"/>
                <a:ea typeface="Arial Unicode MS"/>
              </a:rPr>
              <a:t>Seno</a:t>
            </a:r>
          </a:p>
        </c:rich>
      </c:tx>
      <c:layout>
        <c:manualLayout>
          <c:xMode val="edge"/>
          <c:yMode val="edge"/>
          <c:x val="0.351076773330089"/>
          <c:y val="0.0206036508223387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3e76"/>
            </a:solidFill>
            <a:ln cap="rnd" w="19080">
              <a:solidFill>
                <a:srgbClr val="003e7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 Unicode M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Sheet1!$B$3:$L$3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Sheet1!$B$5:$L$5</c:f>
              <c:numCache>
                <c:formatCode>General</c:formatCode>
                <c:ptCount val="11"/>
                <c:pt idx="0">
                  <c:v>0</c:v>
                </c:pt>
                <c:pt idx="1">
                  <c:v>0.309016994374947</c:v>
                </c:pt>
                <c:pt idx="2">
                  <c:v>0.587785252292473</c:v>
                </c:pt>
                <c:pt idx="3">
                  <c:v>0.809016994374948</c:v>
                </c:pt>
                <c:pt idx="4">
                  <c:v>0.951056516295154</c:v>
                </c:pt>
                <c:pt idx="5">
                  <c:v>1</c:v>
                </c:pt>
                <c:pt idx="6">
                  <c:v>0.951056516295154</c:v>
                </c:pt>
                <c:pt idx="7">
                  <c:v>0.809016994374948</c:v>
                </c:pt>
                <c:pt idx="8">
                  <c:v>0.587785252292473</c:v>
                </c:pt>
                <c:pt idx="9">
                  <c:v>0.309016994374948</c:v>
                </c:pt>
                <c:pt idx="10">
                  <c:v>1.22464679914735E-016</c:v>
                </c:pt>
              </c:numCache>
            </c:numRef>
          </c:yVal>
          <c:smooth val="1"/>
        </c:ser>
        <c:axId val="76877978"/>
        <c:axId val="13850664"/>
      </c:scatterChart>
      <c:valAx>
        <c:axId val="7687797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</a:p>
        </c:txPr>
        <c:crossAx val="13850664"/>
        <c:crosses val="autoZero"/>
        <c:crossBetween val="midCat"/>
        <c:majorUnit val="1"/>
      </c:valAx>
      <c:valAx>
        <c:axId val="138506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</a:p>
        </c:txPr>
        <c:crossAx val="768779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AR" sz="14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  <a:r>
              <a:rPr b="0" lang="es-AR" sz="1400" spc="-1" strike="noStrike">
                <a:solidFill>
                  <a:srgbClr val="595959"/>
                </a:solidFill>
                <a:latin typeface="Arial"/>
                <a:ea typeface="Arial Unicode MS"/>
              </a:rPr>
              <a:t>%Área
</a:t>
            </a:r>
          </a:p>
        </c:rich>
      </c:tx>
      <c:layout>
        <c:manualLayout>
          <c:xMode val="edge"/>
          <c:yMode val="edge"/>
          <c:x val="0.351041058571707"/>
          <c:y val="0.02069521591112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3e76"/>
            </a:solidFill>
            <a:ln w="255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 Unicode M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Sheet1!$B$9:$L$9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Sheet1!$B$7:$L$7</c:f>
              <c:numCache>
                <c:formatCode>General</c:formatCode>
                <c:ptCount val="11"/>
                <c:pt idx="0">
                  <c:v>0.155791947275279</c:v>
                </c:pt>
                <c:pt idx="1">
                  <c:v>0.452125840560208</c:v>
                </c:pt>
                <c:pt idx="2">
                  <c:v>0.704202506425141</c:v>
                </c:pt>
                <c:pt idx="3">
                  <c:v>0.887346924493812</c:v>
                </c:pt>
                <c:pt idx="4">
                  <c:v>0.983631643083466</c:v>
                </c:pt>
                <c:pt idx="5">
                  <c:v>0.983631643083466</c:v>
                </c:pt>
                <c:pt idx="6">
                  <c:v>0.887346924493812</c:v>
                </c:pt>
                <c:pt idx="7">
                  <c:v>0.704202506425141</c:v>
                </c:pt>
                <c:pt idx="8">
                  <c:v>0.452125840560209</c:v>
                </c:pt>
                <c:pt idx="9">
                  <c:v>0.155791947275279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79884733"/>
        <c:axId val="17357111"/>
      </c:barChart>
      <c:catAx>
        <c:axId val="7988473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</a:p>
        </c:txPr>
        <c:crossAx val="17357111"/>
        <c:crosses val="autoZero"/>
        <c:auto val="1"/>
        <c:lblAlgn val="ctr"/>
        <c:lblOffset val="100"/>
        <c:noMultiLvlLbl val="0"/>
      </c:catAx>
      <c:valAx>
        <c:axId val="173571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</a:p>
        </c:txPr>
        <c:crossAx val="798847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AR" sz="14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  <a:r>
              <a:rPr b="0" lang="es-AR" sz="1400" spc="-1" strike="noStrike">
                <a:solidFill>
                  <a:srgbClr val="595959"/>
                </a:solidFill>
                <a:latin typeface="Arial"/>
                <a:ea typeface="Arial Unicode MS"/>
              </a:rPr>
              <a:t>Seno</a:t>
            </a:r>
          </a:p>
        </c:rich>
      </c:tx>
      <c:layout>
        <c:manualLayout>
          <c:xMode val="edge"/>
          <c:yMode val="edge"/>
          <c:x val="0.351076773330089"/>
          <c:y val="0.0206036508223387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3e76"/>
            </a:solidFill>
            <a:ln cap="rnd" w="19080">
              <a:solidFill>
                <a:srgbClr val="003e7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 Unicode M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Sheet1!$B$101:$G$101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Sheet1!$B$103:$G$103</c:f>
              <c:numCache>
                <c:formatCode>General</c:formatCode>
                <c:ptCount val="6"/>
                <c:pt idx="0">
                  <c:v>0</c:v>
                </c:pt>
                <c:pt idx="1">
                  <c:v>0.587785252292473</c:v>
                </c:pt>
                <c:pt idx="2">
                  <c:v>0.951056516295154</c:v>
                </c:pt>
                <c:pt idx="3">
                  <c:v>0.951056516295154</c:v>
                </c:pt>
                <c:pt idx="4">
                  <c:v>0.587785252292473</c:v>
                </c:pt>
                <c:pt idx="5">
                  <c:v>1.22464679914735E-016</c:v>
                </c:pt>
              </c:numCache>
            </c:numRef>
          </c:yVal>
          <c:smooth val="1"/>
        </c:ser>
        <c:axId val="79074298"/>
        <c:axId val="34859440"/>
      </c:scatterChart>
      <c:valAx>
        <c:axId val="7907429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</a:p>
        </c:txPr>
        <c:crossAx val="34859440"/>
        <c:crosses val="autoZero"/>
        <c:crossBetween val="midCat"/>
        <c:majorUnit val="1"/>
      </c:valAx>
      <c:valAx>
        <c:axId val="348594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</a:p>
        </c:txPr>
        <c:crossAx val="7907429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AR" sz="14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  <a:r>
              <a:rPr b="0" lang="es-AR" sz="1400" spc="-1" strike="noStrike">
                <a:solidFill>
                  <a:srgbClr val="595959"/>
                </a:solidFill>
                <a:latin typeface="Arial"/>
                <a:ea typeface="Arial Unicode MS"/>
              </a:rPr>
              <a:t>%Área
</a:t>
            </a:r>
          </a:p>
        </c:rich>
      </c:tx>
      <c:layout>
        <c:manualLayout>
          <c:xMode val="edge"/>
          <c:yMode val="edge"/>
          <c:x val="0.351041058571707"/>
          <c:y val="0.02069521591112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3e76"/>
            </a:solidFill>
            <a:ln w="255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 Unicode M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Sheet1!$B$107:$G$107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Sheet1!$B$105:$G$105</c:f>
              <c:numCache>
                <c:formatCode>General</c:formatCode>
                <c:ptCount val="6"/>
                <c:pt idx="0">
                  <c:v>0.303958893917744</c:v>
                </c:pt>
                <c:pt idx="1">
                  <c:v>0.795774715459477</c:v>
                </c:pt>
                <c:pt idx="2">
                  <c:v>0.983631643083466</c:v>
                </c:pt>
                <c:pt idx="3">
                  <c:v>0.795774715459477</c:v>
                </c:pt>
                <c:pt idx="4">
                  <c:v>0.303958893917744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1199567"/>
        <c:axId val="52538085"/>
      </c:barChart>
      <c:catAx>
        <c:axId val="9119956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</a:p>
        </c:txPr>
        <c:crossAx val="52538085"/>
        <c:crosses val="autoZero"/>
        <c:auto val="1"/>
        <c:lblAlgn val="ctr"/>
        <c:lblOffset val="100"/>
        <c:noMultiLvlLbl val="0"/>
      </c:catAx>
      <c:valAx>
        <c:axId val="525380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 Unicode MS"/>
              </a:defRPr>
            </a:pPr>
          </a:p>
        </c:txPr>
        <c:crossAx val="91199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257040</xdr:colOff>
      <xdr:row>14</xdr:row>
      <xdr:rowOff>9360</xdr:rowOff>
    </xdr:from>
    <xdr:to>
      <xdr:col>8</xdr:col>
      <xdr:colOff>358560</xdr:colOff>
      <xdr:row>40</xdr:row>
      <xdr:rowOff>20160</xdr:rowOff>
    </xdr:to>
    <xdr:graphicFrame>
      <xdr:nvGraphicFramePr>
        <xdr:cNvPr id="0" name="Gráfico 1"/>
        <xdr:cNvGraphicFramePr/>
      </xdr:nvGraphicFramePr>
      <xdr:xfrm>
        <a:off x="257040" y="2244600"/>
        <a:ext cx="5917320" cy="398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523800</xdr:colOff>
      <xdr:row>13</xdr:row>
      <xdr:rowOff>142920</xdr:rowOff>
    </xdr:from>
    <xdr:to>
      <xdr:col>16</xdr:col>
      <xdr:colOff>303120</xdr:colOff>
      <xdr:row>40</xdr:row>
      <xdr:rowOff>36000</xdr:rowOff>
    </xdr:to>
    <xdr:graphicFrame>
      <xdr:nvGraphicFramePr>
        <xdr:cNvPr id="1" name="Gráfico 2"/>
        <xdr:cNvGraphicFramePr/>
      </xdr:nvGraphicFramePr>
      <xdr:xfrm>
        <a:off x="6339600" y="2225880"/>
        <a:ext cx="5549760" cy="401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508320</xdr:colOff>
      <xdr:row>114</xdr:row>
      <xdr:rowOff>37080</xdr:rowOff>
    </xdr:from>
    <xdr:to>
      <xdr:col>8</xdr:col>
      <xdr:colOff>609840</xdr:colOff>
      <xdr:row>140</xdr:row>
      <xdr:rowOff>58320</xdr:rowOff>
    </xdr:to>
    <xdr:graphicFrame>
      <xdr:nvGraphicFramePr>
        <xdr:cNvPr id="2" name="Gráfico 3"/>
        <xdr:cNvGraphicFramePr/>
      </xdr:nvGraphicFramePr>
      <xdr:xfrm>
        <a:off x="508320" y="18081360"/>
        <a:ext cx="5917320" cy="398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238320</xdr:colOff>
      <xdr:row>113</xdr:row>
      <xdr:rowOff>139680</xdr:rowOff>
    </xdr:from>
    <xdr:to>
      <xdr:col>18</xdr:col>
      <xdr:colOff>175680</xdr:colOff>
      <xdr:row>140</xdr:row>
      <xdr:rowOff>42840</xdr:rowOff>
    </xdr:to>
    <xdr:graphicFrame>
      <xdr:nvGraphicFramePr>
        <xdr:cNvPr id="3" name="Gráfico 4"/>
        <xdr:cNvGraphicFramePr/>
      </xdr:nvGraphicFramePr>
      <xdr:xfrm>
        <a:off x="7455600" y="18031320"/>
        <a:ext cx="5549760" cy="401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C176"/>
  <sheetViews>
    <sheetView showFormulas="false" showGridLines="true" showRowColHeaders="true" showZeros="true" rightToLeft="false" tabSelected="true" showOutlineSymbols="true" defaultGridColor="true" view="normal" topLeftCell="A120" colorId="64" zoomScale="100" zoomScaleNormal="100" zoomScalePageLayoutView="100" workbookViewId="0">
      <selection pane="topLeft" activeCell="J112" activeCellId="0" sqref="J112"/>
    </sheetView>
  </sheetViews>
  <sheetFormatPr defaultColWidth="8.82421875" defaultRowHeight="12" zeroHeight="false" outlineLevelRow="0" outlineLevelCol="0"/>
  <cols>
    <col collapsed="false" customWidth="true" hidden="false" outlineLevel="0" max="1" min="1" style="1" width="13.12"/>
    <col collapsed="false" customWidth="true" hidden="false" outlineLevel="0" max="2" min="2" style="1" width="11.39"/>
    <col collapsed="false" customWidth="true" hidden="false" outlineLevel="0" max="3" min="3" style="1" width="9.45"/>
    <col collapsed="false" customWidth="true" hidden="false" outlineLevel="0" max="4" min="4" style="1" width="9.6"/>
    <col collapsed="false" customWidth="true" hidden="false" outlineLevel="0" max="5" min="5" style="1" width="10.01"/>
    <col collapsed="false" customWidth="true" hidden="false" outlineLevel="0" max="6" min="6" style="1" width="9.33"/>
    <col collapsed="false" customWidth="true" hidden="false" outlineLevel="0" max="7" min="7" style="1" width="10.01"/>
    <col collapsed="false" customWidth="true" hidden="false" outlineLevel="0" max="8" min="8" style="1" width="9.6"/>
    <col collapsed="false" customWidth="true" hidden="false" outlineLevel="0" max="9" min="9" style="1" width="10.15"/>
    <col collapsed="false" customWidth="true" hidden="false" outlineLevel="0" max="10" min="10" style="1" width="9.73"/>
    <col collapsed="false" customWidth="true" hidden="false" outlineLevel="0" max="11" min="11" style="1" width="10.29"/>
    <col collapsed="false" customWidth="true" hidden="false" outlineLevel="0" max="12" min="12" style="1" width="9.33"/>
    <col collapsed="false" customWidth="true" hidden="false" outlineLevel="0" max="14" min="14" style="1" width="13.63"/>
    <col collapsed="false" customWidth="true" hidden="false" outlineLevel="0" max="15" min="15" style="1" width="11.09"/>
    <col collapsed="false" customWidth="true" hidden="false" outlineLevel="0" max="19" min="19" style="1" width="9.63"/>
    <col collapsed="false" customWidth="true" hidden="false" outlineLevel="0" max="21" min="21" style="1" width="18.26"/>
    <col collapsed="false" customWidth="true" hidden="false" outlineLevel="0" max="22" min="22" style="1" width="5.06"/>
    <col collapsed="false" customWidth="true" hidden="false" outlineLevel="0" max="23" min="23" style="1" width="4.48"/>
    <col collapsed="false" customWidth="true" hidden="false" outlineLevel="0" max="29" min="24" style="1" width="6.99"/>
    <col collapsed="false" customWidth="true" hidden="false" outlineLevel="0" max="32" min="30" style="1" width="5.06"/>
    <col collapsed="false" customWidth="true" hidden="false" outlineLevel="0" max="33" min="33" style="1" width="4.48"/>
    <col collapsed="false" customWidth="true" hidden="false" outlineLevel="0" max="40" min="34" style="1" width="6.99"/>
    <col collapsed="false" customWidth="true" hidden="false" outlineLevel="0" max="41" min="41" style="1" width="6.02"/>
    <col collapsed="false" customWidth="true" hidden="false" outlineLevel="0" max="42" min="42" style="1" width="5.06"/>
    <col collapsed="false" customWidth="true" hidden="false" outlineLevel="0" max="43" min="43" style="1" width="4.48"/>
    <col collapsed="false" customWidth="true" hidden="false" outlineLevel="0" max="51" min="44" style="1" width="6.99"/>
    <col collapsed="false" customWidth="true" hidden="false" outlineLevel="0" max="52" min="52" style="1" width="6.02"/>
    <col collapsed="false" customWidth="true" hidden="false" outlineLevel="0" max="53" min="53" style="1" width="4.48"/>
    <col collapsed="false" customWidth="true" hidden="false" outlineLevel="0" max="61" min="54" style="1" width="6.99"/>
    <col collapsed="false" customWidth="true" hidden="false" outlineLevel="0" max="62" min="62" style="1" width="6.02"/>
    <col collapsed="false" customWidth="true" hidden="false" outlineLevel="0" max="63" min="63" style="1" width="4.48"/>
    <col collapsed="false" customWidth="true" hidden="false" outlineLevel="0" max="70" min="64" style="1" width="6.99"/>
    <col collapsed="false" customWidth="true" hidden="false" outlineLevel="0" max="71" min="71" style="1" width="6.02"/>
    <col collapsed="false" customWidth="true" hidden="false" outlineLevel="0" max="72" min="72" style="1" width="5.06"/>
    <col collapsed="false" customWidth="true" hidden="false" outlineLevel="0" max="73" min="73" style="1" width="4.48"/>
    <col collapsed="false" customWidth="true" hidden="false" outlineLevel="0" max="79" min="74" style="1" width="6.99"/>
    <col collapsed="false" customWidth="true" hidden="false" outlineLevel="0" max="82" min="80" style="1" width="5.06"/>
    <col collapsed="false" customWidth="true" hidden="false" outlineLevel="0" max="83" min="83" style="1" width="4.48"/>
    <col collapsed="false" customWidth="true" hidden="false" outlineLevel="0" max="86" min="84" style="1" width="6.99"/>
    <col collapsed="false" customWidth="true" hidden="false" outlineLevel="0" max="87" min="87" style="1" width="6.02"/>
    <col collapsed="false" customWidth="true" hidden="false" outlineLevel="0" max="92" min="88" style="1" width="5.06"/>
    <col collapsed="false" customWidth="true" hidden="false" outlineLevel="0" max="93" min="93" style="1" width="4.48"/>
    <col collapsed="false" customWidth="true" hidden="false" outlineLevel="0" max="94" min="94" style="1" width="6.02"/>
    <col collapsed="false" customWidth="true" hidden="false" outlineLevel="0" max="102" min="95" style="1" width="5.06"/>
    <col collapsed="false" customWidth="true" hidden="false" outlineLevel="0" max="103" min="103" style="1" width="11.53"/>
  </cols>
  <sheetData>
    <row r="3" customFormat="false" ht="12" hidden="false" customHeight="false" outlineLevel="0" collapsed="false">
      <c r="B3" s="1" t="n">
        <v>0</v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N3" s="1" t="s">
        <v>0</v>
      </c>
      <c r="O3" s="1" t="s">
        <v>1</v>
      </c>
      <c r="R3" s="1" t="s">
        <v>2</v>
      </c>
      <c r="S3" s="1" t="s">
        <v>3</v>
      </c>
      <c r="T3" s="1" t="s">
        <v>4</v>
      </c>
      <c r="U3" s="1" t="s">
        <v>5</v>
      </c>
    </row>
    <row r="4" customFormat="false" ht="12.8" hidden="false" customHeight="false" outlineLevel="0" collapsed="false">
      <c r="B4" s="1" t="n">
        <f aca="false">B3*(PI()/10)</f>
        <v>0</v>
      </c>
      <c r="C4" s="1" t="n">
        <f aca="false">C3*(PI()/10)</f>
        <v>0.314159265358979</v>
      </c>
      <c r="D4" s="1" t="n">
        <f aca="false">D3*(PI()/10)</f>
        <v>0.628318530717959</v>
      </c>
      <c r="E4" s="1" t="n">
        <f aca="false">E3*(PI()/10)</f>
        <v>0.942477796076938</v>
      </c>
      <c r="F4" s="1" t="n">
        <f aca="false">F3*(PI()/10)</f>
        <v>1.25663706143592</v>
      </c>
      <c r="G4" s="1" t="n">
        <f aca="false">G3*(PI()/10)</f>
        <v>1.5707963267949</v>
      </c>
      <c r="H4" s="1" t="n">
        <f aca="false">H3*(PI()/10)</f>
        <v>1.88495559215388</v>
      </c>
      <c r="I4" s="1" t="n">
        <f aca="false">I3*(PI()/10)</f>
        <v>2.19911485751286</v>
      </c>
      <c r="J4" s="1" t="n">
        <f aca="false">J3*(PI()/10)</f>
        <v>2.51327412287183</v>
      </c>
      <c r="K4" s="1" t="n">
        <f aca="false">K3*(PI()/10)</f>
        <v>2.82743338823081</v>
      </c>
      <c r="L4" s="1" t="n">
        <f aca="false">L3*(PI()/10)</f>
        <v>3.14159265358979</v>
      </c>
      <c r="N4" s="1" t="n">
        <f aca="false">PI()/10</f>
        <v>0.314159265358979</v>
      </c>
      <c r="O4" s="1" t="n">
        <f aca="false">PI()/10</f>
        <v>0.314159265358979</v>
      </c>
      <c r="R4" s="1" t="n">
        <v>1</v>
      </c>
      <c r="S4" s="1" t="n">
        <f aca="false">$N$4*(SIN(C4)-SIN(B4))/2+SIN(B4)*$N$4</f>
        <v>0.0485402759681367</v>
      </c>
      <c r="T4" s="2" t="n">
        <f aca="false">S4/$O$4</f>
        <v>0.154508497187474</v>
      </c>
      <c r="U4" s="3" t="n">
        <f aca="false">T4*$O$6</f>
        <v>1545.08497187474</v>
      </c>
    </row>
    <row r="5" customFormat="false" ht="12.8" hidden="false" customHeight="false" outlineLevel="0" collapsed="false">
      <c r="A5" s="1" t="s">
        <v>6</v>
      </c>
      <c r="B5" s="1" t="n">
        <f aca="false">SIN(B4)</f>
        <v>0</v>
      </c>
      <c r="C5" s="1" t="n">
        <f aca="false">SIN(C4)</f>
        <v>0.309016994374947</v>
      </c>
      <c r="D5" s="1" t="n">
        <f aca="false">SIN(D4)</f>
        <v>0.587785252292473</v>
      </c>
      <c r="E5" s="1" t="n">
        <f aca="false">SIN(E4)</f>
        <v>0.809016994374948</v>
      </c>
      <c r="F5" s="1" t="n">
        <f aca="false">SIN(F4)</f>
        <v>0.951056516295154</v>
      </c>
      <c r="G5" s="1" t="n">
        <f aca="false">SIN(G4)</f>
        <v>1</v>
      </c>
      <c r="H5" s="1" t="n">
        <f aca="false">SIN(H4)</f>
        <v>0.951056516295154</v>
      </c>
      <c r="I5" s="1" t="n">
        <f aca="false">SIN(I4)</f>
        <v>0.809016994374948</v>
      </c>
      <c r="J5" s="1" t="n">
        <f aca="false">SIN(J4)</f>
        <v>0.587785252292473</v>
      </c>
      <c r="K5" s="1" t="n">
        <f aca="false">SIN(K4)</f>
        <v>0.309016994374948</v>
      </c>
      <c r="L5" s="1" t="n">
        <f aca="false">SIN(L4)</f>
        <v>1.22464679914735E-016</v>
      </c>
      <c r="R5" s="1" t="n">
        <v>2</v>
      </c>
      <c r="S5" s="1" t="n">
        <f aca="false">$N$4*(SIN(D4)-SIN(C4))/2+SIN(C4)*$N$4</f>
        <v>0.14086936749266</v>
      </c>
      <c r="T5" s="2" t="n">
        <f aca="false">S5/$O$4</f>
        <v>0.44840112333371</v>
      </c>
      <c r="U5" s="3" t="n">
        <f aca="false">T5*$O$6</f>
        <v>4484.0112333371</v>
      </c>
    </row>
    <row r="6" customFormat="false" ht="12.8" hidden="false" customHeight="false" outlineLevel="0" collapsed="false">
      <c r="A6" s="1" t="s">
        <v>7</v>
      </c>
      <c r="B6" s="1" t="n">
        <f aca="false">COS(B4)-COS(C4)</f>
        <v>0.0489434837048465</v>
      </c>
      <c r="C6" s="1" t="n">
        <f aca="false">COS(C4)-COS(D4)</f>
        <v>0.142039521920206</v>
      </c>
      <c r="D6" s="1" t="n">
        <f aca="false">COS(D4)-COS(E4)</f>
        <v>0.221231742082474</v>
      </c>
      <c r="E6" s="1" t="n">
        <f aca="false">COS(E4)-COS(F4)</f>
        <v>0.278768257917526</v>
      </c>
      <c r="F6" s="1" t="n">
        <f aca="false">COS(F4)-COS(G4)</f>
        <v>0.309016994374947</v>
      </c>
      <c r="G6" s="1" t="n">
        <f aca="false">COS(G4)-COS(H4)</f>
        <v>0.309016994374947</v>
      </c>
      <c r="H6" s="1" t="n">
        <f aca="false">COS(H4)-COS(I4)</f>
        <v>0.278768257917526</v>
      </c>
      <c r="I6" s="1" t="n">
        <f aca="false">COS(I4)-COS(J4)</f>
        <v>0.221231742082474</v>
      </c>
      <c r="J6" s="1" t="n">
        <f aca="false">COS(J4)-COS(K4)</f>
        <v>0.142039521920206</v>
      </c>
      <c r="K6" s="1" t="n">
        <f aca="false">COS(K4)-COS(L4)</f>
        <v>0.0489434837048465</v>
      </c>
      <c r="L6" s="1" t="n">
        <v>0</v>
      </c>
      <c r="N6" s="1" t="s">
        <v>8</v>
      </c>
      <c r="O6" s="1" t="n">
        <v>10000</v>
      </c>
      <c r="R6" s="1" t="n">
        <v>3</v>
      </c>
      <c r="S6" s="1" t="n">
        <f aca="false">$N$4*(SIN(E4)-SIN(D4))/2+SIN(D4)*$N$4</f>
        <v>0.219409183832404</v>
      </c>
      <c r="T6" s="2" t="n">
        <f aca="false">S6/$O$4</f>
        <v>0.69840112333371</v>
      </c>
      <c r="U6" s="3" t="n">
        <f aca="false">T6*$O$6</f>
        <v>6984.0112333371</v>
      </c>
    </row>
    <row r="7" customFormat="false" ht="12.8" hidden="false" customHeight="false" outlineLevel="0" collapsed="false">
      <c r="A7" s="1" t="s">
        <v>9</v>
      </c>
      <c r="B7" s="2" t="n">
        <f aca="false">B6/$O$4</f>
        <v>0.155791947275279</v>
      </c>
      <c r="C7" s="2" t="n">
        <f aca="false">C6/$O$4</f>
        <v>0.452125840560208</v>
      </c>
      <c r="D7" s="2" t="n">
        <f aca="false">D6/$O$4</f>
        <v>0.704202506425141</v>
      </c>
      <c r="E7" s="2" t="n">
        <f aca="false">E6/$O$4</f>
        <v>0.887346924493812</v>
      </c>
      <c r="F7" s="2" t="n">
        <f aca="false">F6/$O$4</f>
        <v>0.983631643083466</v>
      </c>
      <c r="G7" s="2" t="n">
        <f aca="false">G6/$O$4</f>
        <v>0.983631643083466</v>
      </c>
      <c r="H7" s="2" t="n">
        <f aca="false">H6/$O$4</f>
        <v>0.887346924493812</v>
      </c>
      <c r="I7" s="2" t="n">
        <f aca="false">I6/$O$4</f>
        <v>0.704202506425141</v>
      </c>
      <c r="J7" s="2" t="n">
        <f aca="false">J6/$O$4</f>
        <v>0.452125840560209</v>
      </c>
      <c r="K7" s="2" t="n">
        <f aca="false">K6/$O$4</f>
        <v>0.155791947275279</v>
      </c>
      <c r="L7" s="2" t="n">
        <f aca="false">L6/$O$4</f>
        <v>0</v>
      </c>
      <c r="N7" s="1" t="s">
        <v>10</v>
      </c>
      <c r="O7" s="1" t="n">
        <v>50</v>
      </c>
      <c r="R7" s="1" t="n">
        <v>4</v>
      </c>
      <c r="S7" s="1" t="n">
        <f aca="false">$N$4*(SIN(F4)-SIN(E4))/2+SIN(E4)*$N$4</f>
        <v>0.276471700544959</v>
      </c>
      <c r="T7" s="2" t="n">
        <f aca="false">S7/$O$4</f>
        <v>0.880036755335051</v>
      </c>
      <c r="U7" s="3" t="n">
        <f aca="false">T7*$O$6</f>
        <v>8800.36755335051</v>
      </c>
    </row>
    <row r="8" customFormat="false" ht="12.8" hidden="false" customHeight="false" outlineLevel="0" collapsed="false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N8" s="1" t="s">
        <v>22</v>
      </c>
      <c r="O8" s="1" t="n">
        <f aca="false">1/(2*PI()*O7)</f>
        <v>0.00318309886183791</v>
      </c>
      <c r="R8" s="1" t="n">
        <v>5</v>
      </c>
      <c r="S8" s="1" t="n">
        <f aca="false">$N$4*(SIN(G4)-SIN(F4))/2+SIN(F4)*$N$4</f>
        <v>0.306471240916567</v>
      </c>
      <c r="T8" s="2" t="n">
        <f aca="false">S8/$O$4</f>
        <v>0.975528258147577</v>
      </c>
      <c r="U8" s="3" t="n">
        <f aca="false">T8*$O$6</f>
        <v>9755.28258147577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1</v>
      </c>
      <c r="D9" s="1" t="n">
        <v>2</v>
      </c>
      <c r="E9" s="1" t="n">
        <v>3</v>
      </c>
      <c r="F9" s="1" t="n">
        <v>4</v>
      </c>
      <c r="G9" s="1" t="n">
        <v>5</v>
      </c>
      <c r="H9" s="1" t="n">
        <v>6</v>
      </c>
      <c r="I9" s="1" t="n">
        <v>7</v>
      </c>
      <c r="J9" s="1" t="n">
        <v>8</v>
      </c>
      <c r="K9" s="1" t="n">
        <v>9</v>
      </c>
      <c r="L9" s="1" t="n">
        <v>10</v>
      </c>
      <c r="N9" s="1" t="s">
        <v>24</v>
      </c>
      <c r="O9" s="1" t="n">
        <f aca="false">O8/10000</f>
        <v>3.18309886183791E-007</v>
      </c>
      <c r="P9" s="1" t="s">
        <v>25</v>
      </c>
      <c r="R9" s="1" t="n">
        <v>6</v>
      </c>
      <c r="S9" s="1" t="n">
        <f aca="false">$N$4*(SIN(H4)-SIN(G4))/2+SIN(G4)*$N$4</f>
        <v>0.306471240916567</v>
      </c>
      <c r="T9" s="2" t="n">
        <f aca="false">S9/$O$4</f>
        <v>0.975528258147577</v>
      </c>
      <c r="U9" s="3" t="n">
        <f aca="false">T9*$O$6</f>
        <v>9755.28258147577</v>
      </c>
    </row>
    <row r="10" customFormat="false" ht="12.8" hidden="false" customHeight="false" outlineLevel="0" collapsed="false">
      <c r="A10" s="1" t="s">
        <v>26</v>
      </c>
      <c r="B10" s="3" t="n">
        <f aca="false">B7*$O$6</f>
        <v>1557.91947275279</v>
      </c>
      <c r="C10" s="3" t="n">
        <f aca="false">C7*$O$6</f>
        <v>4521.25840560208</v>
      </c>
      <c r="D10" s="3" t="n">
        <f aca="false">D7*$O$6</f>
        <v>7042.02506425141</v>
      </c>
      <c r="E10" s="3" t="n">
        <f aca="false">E7*$O$6</f>
        <v>8873.46924493812</v>
      </c>
      <c r="F10" s="3" t="n">
        <f aca="false">F7*$O$6</f>
        <v>9836.31643083466</v>
      </c>
      <c r="G10" s="3" t="n">
        <f aca="false">G7*$O$6</f>
        <v>9836.31643083466</v>
      </c>
      <c r="H10" s="3" t="n">
        <f aca="false">H7*$O$6</f>
        <v>8873.46924493812</v>
      </c>
      <c r="I10" s="3" t="n">
        <f aca="false">I7*$O$6</f>
        <v>7042.02506425141</v>
      </c>
      <c r="J10" s="3" t="n">
        <f aca="false">J7*$O$6</f>
        <v>4521.25840560209</v>
      </c>
      <c r="K10" s="3" t="n">
        <f aca="false">K7*$O$6</f>
        <v>1557.91947275279</v>
      </c>
      <c r="L10" s="3" t="n">
        <f aca="false">L7*$O$6</f>
        <v>0</v>
      </c>
      <c r="N10" s="1" t="s">
        <v>27</v>
      </c>
      <c r="O10" s="1" t="n">
        <f aca="false">10000*0.000047</f>
        <v>0.47</v>
      </c>
      <c r="R10" s="1" t="n">
        <v>7</v>
      </c>
      <c r="S10" s="1" t="n">
        <f aca="false">$N$4*(SIN(I4)-SIN(H4))/2+SIN(H4)*$N$4</f>
        <v>0.276471700544959</v>
      </c>
      <c r="T10" s="2" t="n">
        <f aca="false">S10/$O$4</f>
        <v>0.880036755335051</v>
      </c>
      <c r="U10" s="3" t="n">
        <f aca="false">T10*$O$6</f>
        <v>8800.36755335051</v>
      </c>
    </row>
    <row r="11" customFormat="false" ht="12.8" hidden="false" customHeight="false" outlineLevel="0" collapsed="false">
      <c r="O11" s="1" t="n">
        <f aca="false">1/O10</f>
        <v>2.12765957446809</v>
      </c>
      <c r="R11" s="1" t="n">
        <v>8</v>
      </c>
      <c r="S11" s="1" t="n">
        <f aca="false">$N$4*(SIN(J4)-SIN(I4))/2+SIN(I4)*$N$4</f>
        <v>0.219409183832404</v>
      </c>
      <c r="T11" s="2" t="n">
        <f aca="false">S11/$O$4</f>
        <v>0.69840112333371</v>
      </c>
      <c r="U11" s="3" t="n">
        <f aca="false">T11*$O$6</f>
        <v>6984.0112333371</v>
      </c>
    </row>
    <row r="12" customFormat="false" ht="12.8" hidden="false" customHeight="false" outlineLevel="0" collapsed="false">
      <c r="R12" s="1" t="n">
        <v>9</v>
      </c>
      <c r="S12" s="1" t="n">
        <f aca="false">$N$4*(SIN(K4)-SIN(J4))/2+SIN(J4)*$N$4</f>
        <v>0.14086936749266</v>
      </c>
      <c r="T12" s="2" t="n">
        <f aca="false">S12/$O$4</f>
        <v>0.44840112333371</v>
      </c>
      <c r="U12" s="3" t="n">
        <f aca="false">T12*$O$6</f>
        <v>4484.0112333371</v>
      </c>
    </row>
    <row r="13" customFormat="false" ht="12.8" hidden="false" customHeight="false" outlineLevel="0" collapsed="false">
      <c r="R13" s="1" t="n">
        <v>10</v>
      </c>
      <c r="S13" s="1" t="n">
        <f aca="false">$N$4*(SIN(L4)-SIN(K4))/2+SIN(K4)*$N$4</f>
        <v>0.0485402759681367</v>
      </c>
      <c r="T13" s="2" t="n">
        <f aca="false">S13/$O$4</f>
        <v>0.154508497187474</v>
      </c>
      <c r="U13" s="3" t="n">
        <f aca="false">T13*$O$6</f>
        <v>1545.08497187474</v>
      </c>
    </row>
    <row r="39" customFormat="false" ht="12.8" hidden="false" customHeight="false" outlineLevel="0" collapsed="false">
      <c r="G39" s="4" t="s">
        <v>28</v>
      </c>
    </row>
    <row r="44" customFormat="false" ht="12.8" hidden="false" customHeight="false" outlineLevel="0" collapsed="false">
      <c r="B44" s="1" t="str">
        <f aca="false">B8</f>
        <v>Intervalo 1</v>
      </c>
      <c r="C44" s="2" t="n">
        <f aca="false">B7</f>
        <v>0.155791947275279</v>
      </c>
      <c r="D44" s="1" t="n">
        <f aca="false">C44*100</f>
        <v>15.5791947275279</v>
      </c>
      <c r="M44" s="1"/>
    </row>
    <row r="45" customFormat="false" ht="12.8" hidden="false" customHeight="false" outlineLevel="0" collapsed="false">
      <c r="B45" s="1" t="n">
        <v>0</v>
      </c>
      <c r="C45" s="1" t="n">
        <v>100</v>
      </c>
      <c r="D45" s="1" t="n">
        <v>200</v>
      </c>
      <c r="E45" s="1" t="n">
        <v>300</v>
      </c>
      <c r="F45" s="1" t="n">
        <v>400</v>
      </c>
      <c r="G45" s="1" t="n">
        <v>500</v>
      </c>
      <c r="H45" s="1" t="n">
        <v>600</v>
      </c>
      <c r="I45" s="1" t="n">
        <v>700</v>
      </c>
      <c r="J45" s="1" t="n">
        <v>800</v>
      </c>
      <c r="K45" s="1" t="n">
        <v>9000</v>
      </c>
      <c r="L45" s="1" t="n">
        <v>1000</v>
      </c>
      <c r="M45" s="1" t="s">
        <v>29</v>
      </c>
    </row>
    <row r="46" customFormat="false" ht="12.8" hidden="false" customHeight="false" outlineLevel="0" collapsed="false">
      <c r="D46" s="1" t="n">
        <f aca="false">D44-10</f>
        <v>5.5791947275279</v>
      </c>
      <c r="E46" s="1" t="n">
        <f aca="false">D46-10</f>
        <v>-4.4208052724721</v>
      </c>
      <c r="F46" s="1" t="n">
        <f aca="false">E46-10</f>
        <v>-14.4208052724721</v>
      </c>
      <c r="G46" s="1" t="n">
        <f aca="false">F46-10</f>
        <v>-24.4208052724721</v>
      </c>
      <c r="H46" s="1" t="n">
        <f aca="false">G46-10</f>
        <v>-34.4208052724721</v>
      </c>
      <c r="I46" s="1" t="n">
        <f aca="false">H46-10</f>
        <v>-44.4208052724721</v>
      </c>
      <c r="J46" s="1" t="n">
        <f aca="false">I46-10</f>
        <v>-54.4208052724721</v>
      </c>
      <c r="K46" s="1" t="n">
        <f aca="false">J46-10</f>
        <v>-64.4208052724721</v>
      </c>
      <c r="L46" s="1" t="n">
        <f aca="false">K46-10</f>
        <v>-74.4208052724721</v>
      </c>
      <c r="M46" s="1"/>
    </row>
    <row r="47" customFormat="false" ht="12.8" hidden="false" customHeight="false" outlineLevel="0" collapsed="false">
      <c r="C47" s="5" t="n">
        <f aca="false">IF(D44&gt;10,100,D44)</f>
        <v>100</v>
      </c>
      <c r="D47" s="5" t="n">
        <f aca="false">IF(D46&gt;10,100,IF(D46&lt;0,0,D46*10))</f>
        <v>55.791947275279</v>
      </c>
      <c r="E47" s="5" t="n">
        <f aca="false">IF(E46&gt;10,100,IF(E46&lt;0,0,E46*10))</f>
        <v>0</v>
      </c>
      <c r="F47" s="5" t="n">
        <f aca="false">IF(F46&gt;10,100,IF(F46&lt;0,0,F46*10))</f>
        <v>0</v>
      </c>
      <c r="G47" s="5" t="n">
        <f aca="false">IF(G46&gt;10,100,IF(G46&lt;0,0,G46*10))</f>
        <v>0</v>
      </c>
      <c r="H47" s="5" t="n">
        <f aca="false">IF(H46&gt;10,100,IF(H46&lt;0,0,H46*10))</f>
        <v>0</v>
      </c>
      <c r="I47" s="5" t="n">
        <f aca="false">IF(I46&gt;10,100,IF(I46&lt;0,0,I46*10))</f>
        <v>0</v>
      </c>
      <c r="J47" s="5" t="n">
        <f aca="false">IF(J46&gt;10,100,IF(J46&lt;0,0,J46*10))</f>
        <v>0</v>
      </c>
      <c r="K47" s="5" t="n">
        <f aca="false">IF(K46&gt;10,100,IF(K46&lt;0,0,K46*10))</f>
        <v>0</v>
      </c>
      <c r="L47" s="5" t="n">
        <f aca="false">IF(L46&gt;10,100,IF(L46&lt;0,0,L46*10))</f>
        <v>0</v>
      </c>
      <c r="M47" s="1" t="s">
        <v>30</v>
      </c>
    </row>
    <row r="49" customFormat="false" ht="12.8" hidden="false" customHeight="false" outlineLevel="0" collapsed="false">
      <c r="B49" s="1" t="str">
        <f aca="false">C8</f>
        <v>Intervalo 2</v>
      </c>
      <c r="C49" s="2" t="n">
        <f aca="false">C7</f>
        <v>0.452125840560208</v>
      </c>
      <c r="D49" s="1" t="n">
        <f aca="false">C49*100</f>
        <v>45.2125840560208</v>
      </c>
    </row>
    <row r="50" customFormat="false" ht="12.8" hidden="false" customHeight="false" outlineLevel="0" collapsed="false">
      <c r="B50" s="1" t="n">
        <v>0</v>
      </c>
      <c r="C50" s="1" t="n">
        <v>100</v>
      </c>
      <c r="D50" s="1" t="n">
        <v>200</v>
      </c>
      <c r="E50" s="1" t="n">
        <v>300</v>
      </c>
      <c r="F50" s="1" t="n">
        <v>400</v>
      </c>
      <c r="G50" s="1" t="n">
        <v>500</v>
      </c>
      <c r="H50" s="1" t="n">
        <v>600</v>
      </c>
      <c r="I50" s="1" t="n">
        <v>700</v>
      </c>
      <c r="J50" s="1" t="n">
        <v>800</v>
      </c>
      <c r="K50" s="1" t="n">
        <v>9000</v>
      </c>
      <c r="L50" s="1" t="n">
        <v>1000</v>
      </c>
      <c r="M50" s="1" t="s">
        <v>29</v>
      </c>
    </row>
    <row r="51" customFormat="false" ht="12.8" hidden="false" customHeight="false" outlineLevel="0" collapsed="false">
      <c r="D51" s="1" t="n">
        <f aca="false">D49-10</f>
        <v>35.2125840560208</v>
      </c>
      <c r="E51" s="1" t="n">
        <f aca="false">D51-10</f>
        <v>25.2125840560208</v>
      </c>
      <c r="F51" s="1" t="n">
        <f aca="false">E51-10</f>
        <v>15.2125840560208</v>
      </c>
      <c r="G51" s="1" t="n">
        <f aca="false">F51-10</f>
        <v>5.2125840560208</v>
      </c>
      <c r="H51" s="1" t="n">
        <f aca="false">G51-10</f>
        <v>-4.7874159439792</v>
      </c>
      <c r="I51" s="1" t="n">
        <f aca="false">H51-10</f>
        <v>-14.7874159439792</v>
      </c>
      <c r="J51" s="1" t="n">
        <f aca="false">I51-10</f>
        <v>-24.7874159439792</v>
      </c>
      <c r="K51" s="1" t="n">
        <f aca="false">J51-10</f>
        <v>-34.7874159439792</v>
      </c>
      <c r="L51" s="1" t="n">
        <f aca="false">K51-10</f>
        <v>-44.7874159439792</v>
      </c>
    </row>
    <row r="52" customFormat="false" ht="12.8" hidden="false" customHeight="false" outlineLevel="0" collapsed="false">
      <c r="C52" s="5" t="n">
        <f aca="false">IF(D49&gt;10,100,D49)</f>
        <v>100</v>
      </c>
      <c r="D52" s="5" t="n">
        <f aca="false">IF(D51&gt;10,100,IF(D51&lt;0,0,D51*10))</f>
        <v>100</v>
      </c>
      <c r="E52" s="5" t="n">
        <f aca="false">IF(E51&gt;10,100,IF(E51&lt;0,0,E51*10))</f>
        <v>100</v>
      </c>
      <c r="F52" s="5" t="n">
        <f aca="false">IF(F51&gt;10,100,IF(F51&lt;0,0,F51*10))</f>
        <v>100</v>
      </c>
      <c r="G52" s="5" t="n">
        <f aca="false">IF(G51&gt;10,100,IF(G51&lt;0,0,G51*10))</f>
        <v>52.125840560208</v>
      </c>
      <c r="H52" s="5" t="n">
        <f aca="false">IF(H51&gt;10,100,IF(H51&lt;0,0,H51*10))</f>
        <v>0</v>
      </c>
      <c r="I52" s="5" t="n">
        <f aca="false">IF(I51&gt;10,100,IF(I51&lt;0,0,I51*10))</f>
        <v>0</v>
      </c>
      <c r="J52" s="5" t="n">
        <f aca="false">IF(J51&gt;10,100,IF(J51&lt;0,0,J51*10))</f>
        <v>0</v>
      </c>
      <c r="K52" s="5" t="n">
        <f aca="false">IF(K51&gt;10,100,IF(K51&lt;0,0,K51*10))</f>
        <v>0</v>
      </c>
      <c r="L52" s="5" t="n">
        <f aca="false">IF(L51&gt;10,100,IF(L51&lt;0,0,L51*10))</f>
        <v>0</v>
      </c>
      <c r="M52" s="1" t="s">
        <v>30</v>
      </c>
    </row>
    <row r="54" customFormat="false" ht="12.8" hidden="false" customHeight="false" outlineLevel="0" collapsed="false">
      <c r="B54" s="1" t="str">
        <f aca="false">D8</f>
        <v>Intervalo 3</v>
      </c>
      <c r="C54" s="2" t="n">
        <f aca="false">D7</f>
        <v>0.704202506425141</v>
      </c>
      <c r="D54" s="1" t="n">
        <f aca="false">C54*100</f>
        <v>70.4202506425141</v>
      </c>
    </row>
    <row r="55" customFormat="false" ht="12.8" hidden="false" customHeight="false" outlineLevel="0" collapsed="false">
      <c r="B55" s="1" t="n">
        <v>0</v>
      </c>
      <c r="C55" s="1" t="n">
        <v>100</v>
      </c>
      <c r="D55" s="1" t="n">
        <v>200</v>
      </c>
      <c r="E55" s="1" t="n">
        <v>300</v>
      </c>
      <c r="F55" s="1" t="n">
        <v>400</v>
      </c>
      <c r="G55" s="1" t="n">
        <v>500</v>
      </c>
      <c r="H55" s="1" t="n">
        <v>600</v>
      </c>
      <c r="I55" s="1" t="n">
        <v>700</v>
      </c>
      <c r="J55" s="1" t="n">
        <v>800</v>
      </c>
      <c r="K55" s="1" t="n">
        <v>9000</v>
      </c>
      <c r="L55" s="1" t="n">
        <v>1000</v>
      </c>
      <c r="M55" s="1" t="s">
        <v>29</v>
      </c>
    </row>
    <row r="56" customFormat="false" ht="12.8" hidden="false" customHeight="false" outlineLevel="0" collapsed="false">
      <c r="D56" s="1" t="n">
        <f aca="false">D54-10</f>
        <v>60.4202506425141</v>
      </c>
      <c r="E56" s="1" t="n">
        <f aca="false">D56-10</f>
        <v>50.4202506425141</v>
      </c>
      <c r="F56" s="1" t="n">
        <f aca="false">E56-10</f>
        <v>40.4202506425141</v>
      </c>
      <c r="G56" s="1" t="n">
        <f aca="false">F56-10</f>
        <v>30.4202506425141</v>
      </c>
      <c r="H56" s="1" t="n">
        <f aca="false">G56-10</f>
        <v>20.4202506425141</v>
      </c>
      <c r="I56" s="1" t="n">
        <f aca="false">H56-10</f>
        <v>10.4202506425141</v>
      </c>
      <c r="J56" s="1" t="n">
        <f aca="false">I56-10</f>
        <v>0.420250642514105</v>
      </c>
      <c r="K56" s="1" t="n">
        <f aca="false">J56-10</f>
        <v>-9.5797493574859</v>
      </c>
      <c r="L56" s="1" t="n">
        <f aca="false">K56-10</f>
        <v>-19.5797493574859</v>
      </c>
      <c r="M56" s="1"/>
    </row>
    <row r="57" customFormat="false" ht="12.8" hidden="false" customHeight="false" outlineLevel="0" collapsed="false">
      <c r="C57" s="5" t="n">
        <f aca="false">IF(D54&gt;10,100,D54)</f>
        <v>100</v>
      </c>
      <c r="D57" s="5" t="n">
        <f aca="false">IF(D56&gt;10,100,IF(D56&lt;0,0,D56*10))</f>
        <v>100</v>
      </c>
      <c r="E57" s="5" t="n">
        <f aca="false">IF(E56&gt;10,100,IF(E56&lt;0,0,E56*10))</f>
        <v>100</v>
      </c>
      <c r="F57" s="5" t="n">
        <f aca="false">IF(F56&gt;10,100,IF(F56&lt;0,0,F56*10))</f>
        <v>100</v>
      </c>
      <c r="G57" s="5" t="n">
        <f aca="false">IF(G56&gt;10,100,IF(G56&lt;0,0,G56*10))</f>
        <v>100</v>
      </c>
      <c r="H57" s="5" t="n">
        <f aca="false">IF(H56&gt;10,100,IF(H56&lt;0,0,H56*10))</f>
        <v>100</v>
      </c>
      <c r="I57" s="5" t="n">
        <f aca="false">IF(I56&gt;10,100,IF(I56&lt;0,0,I56*10))</f>
        <v>100</v>
      </c>
      <c r="J57" s="5" t="n">
        <f aca="false">IF(J56&gt;10,100,IF(J56&lt;0,0,J56*10))</f>
        <v>4.20250642514105</v>
      </c>
      <c r="K57" s="5" t="n">
        <f aca="false">IF(K56&gt;10,100,IF(K56&lt;0,0,K56*10))</f>
        <v>0</v>
      </c>
      <c r="L57" s="5" t="n">
        <f aca="false">IF(L56&gt;10,100,IF(L56&lt;0,0,L56*10))</f>
        <v>0</v>
      </c>
      <c r="M57" s="1" t="s">
        <v>30</v>
      </c>
    </row>
    <row r="59" customFormat="false" ht="12.8" hidden="false" customHeight="false" outlineLevel="0" collapsed="false">
      <c r="B59" s="1" t="str">
        <f aca="false">E8</f>
        <v>Intervalo 4</v>
      </c>
      <c r="C59" s="2" t="n">
        <f aca="false">E7</f>
        <v>0.887346924493812</v>
      </c>
      <c r="D59" s="1" t="n">
        <f aca="false">C59*100</f>
        <v>88.7346924493812</v>
      </c>
    </row>
    <row r="60" customFormat="false" ht="12.8" hidden="false" customHeight="false" outlineLevel="0" collapsed="false">
      <c r="B60" s="1" t="n">
        <v>0</v>
      </c>
      <c r="C60" s="1" t="n">
        <v>100</v>
      </c>
      <c r="D60" s="1" t="n">
        <v>200</v>
      </c>
      <c r="E60" s="1" t="n">
        <v>300</v>
      </c>
      <c r="F60" s="1" t="n">
        <v>400</v>
      </c>
      <c r="G60" s="1" t="n">
        <v>500</v>
      </c>
      <c r="H60" s="1" t="n">
        <v>600</v>
      </c>
      <c r="I60" s="1" t="n">
        <v>700</v>
      </c>
      <c r="J60" s="1" t="n">
        <v>800</v>
      </c>
      <c r="K60" s="1" t="n">
        <v>9000</v>
      </c>
      <c r="L60" s="1" t="n">
        <v>1000</v>
      </c>
      <c r="M60" s="1" t="s">
        <v>29</v>
      </c>
    </row>
    <row r="61" customFormat="false" ht="12.8" hidden="false" customHeight="false" outlineLevel="0" collapsed="false">
      <c r="D61" s="1" t="n">
        <f aca="false">D59-10</f>
        <v>78.7346924493812</v>
      </c>
      <c r="E61" s="1" t="n">
        <f aca="false">D61-10</f>
        <v>68.7346924493812</v>
      </c>
      <c r="F61" s="1" t="n">
        <f aca="false">E61-10</f>
        <v>58.7346924493812</v>
      </c>
      <c r="G61" s="1" t="n">
        <f aca="false">F61-10</f>
        <v>48.7346924493812</v>
      </c>
      <c r="H61" s="1" t="n">
        <f aca="false">G61-10</f>
        <v>38.7346924493812</v>
      </c>
      <c r="I61" s="1" t="n">
        <f aca="false">H61-10</f>
        <v>28.7346924493812</v>
      </c>
      <c r="J61" s="1" t="n">
        <f aca="false">I61-10</f>
        <v>18.7346924493812</v>
      </c>
      <c r="K61" s="1" t="n">
        <f aca="false">J61-10</f>
        <v>8.7346924493812</v>
      </c>
      <c r="L61" s="1" t="n">
        <f aca="false">K61-10</f>
        <v>-1.2653075506188</v>
      </c>
      <c r="M61" s="1"/>
    </row>
    <row r="62" customFormat="false" ht="12.8" hidden="false" customHeight="false" outlineLevel="0" collapsed="false">
      <c r="C62" s="5" t="n">
        <f aca="false">IF(D59&gt;10,100,D59)</f>
        <v>100</v>
      </c>
      <c r="D62" s="5" t="n">
        <f aca="false">IF(D61&gt;10,100,IF(D61&lt;0,0,D61*10))</f>
        <v>100</v>
      </c>
      <c r="E62" s="5" t="n">
        <f aca="false">IF(E61&gt;10,100,IF(E61&lt;0,0,E61*10))</f>
        <v>100</v>
      </c>
      <c r="F62" s="5" t="n">
        <f aca="false">IF(F61&gt;10,100,IF(F61&lt;0,0,F61*10))</f>
        <v>100</v>
      </c>
      <c r="G62" s="5" t="n">
        <f aca="false">IF(G61&gt;10,100,IF(G61&lt;0,0,G61*10))</f>
        <v>100</v>
      </c>
      <c r="H62" s="5" t="n">
        <f aca="false">IF(H61&gt;10,100,IF(H61&lt;0,0,H61*10))</f>
        <v>100</v>
      </c>
      <c r="I62" s="5" t="n">
        <f aca="false">IF(I61&gt;10,100,IF(I61&lt;0,0,I61*10))</f>
        <v>100</v>
      </c>
      <c r="J62" s="5" t="n">
        <f aca="false">IF(J61&gt;10,100,IF(J61&lt;0,0,J61*10))</f>
        <v>100</v>
      </c>
      <c r="K62" s="5" t="n">
        <f aca="false">IF(K61&gt;10,100,IF(K61&lt;0,0,K61*10))</f>
        <v>87.346924493812</v>
      </c>
      <c r="L62" s="5" t="n">
        <f aca="false">IF(L61&gt;10,100,IF(L61&lt;0,0,L61*10))</f>
        <v>0</v>
      </c>
      <c r="M62" s="1" t="s">
        <v>30</v>
      </c>
    </row>
    <row r="64" customFormat="false" ht="12.8" hidden="false" customHeight="false" outlineLevel="0" collapsed="false">
      <c r="B64" s="1" t="str">
        <f aca="false">F8</f>
        <v>Intervalo 5</v>
      </c>
      <c r="C64" s="2" t="n">
        <f aca="false">G7</f>
        <v>0.983631643083466</v>
      </c>
      <c r="D64" s="1" t="n">
        <f aca="false">C64*100</f>
        <v>98.3631643083466</v>
      </c>
    </row>
    <row r="65" customFormat="false" ht="12.8" hidden="false" customHeight="false" outlineLevel="0" collapsed="false">
      <c r="B65" s="1" t="n">
        <v>0</v>
      </c>
      <c r="C65" s="1" t="n">
        <v>100</v>
      </c>
      <c r="D65" s="1" t="n">
        <v>200</v>
      </c>
      <c r="E65" s="1" t="n">
        <v>300</v>
      </c>
      <c r="F65" s="1" t="n">
        <v>400</v>
      </c>
      <c r="G65" s="1" t="n">
        <v>500</v>
      </c>
      <c r="H65" s="1" t="n">
        <v>600</v>
      </c>
      <c r="I65" s="1" t="n">
        <v>700</v>
      </c>
      <c r="J65" s="1" t="n">
        <v>800</v>
      </c>
      <c r="K65" s="1" t="n">
        <v>9000</v>
      </c>
      <c r="L65" s="1" t="n">
        <v>1000</v>
      </c>
      <c r="M65" s="1" t="s">
        <v>29</v>
      </c>
    </row>
    <row r="66" customFormat="false" ht="12.8" hidden="false" customHeight="false" outlineLevel="0" collapsed="false">
      <c r="D66" s="1" t="n">
        <f aca="false">D64-10</f>
        <v>88.3631643083466</v>
      </c>
      <c r="E66" s="1" t="n">
        <f aca="false">D66-10</f>
        <v>78.3631643083466</v>
      </c>
      <c r="F66" s="1" t="n">
        <f aca="false">E66-10</f>
        <v>68.3631643083466</v>
      </c>
      <c r="G66" s="1" t="n">
        <f aca="false">F66-10</f>
        <v>58.3631643083466</v>
      </c>
      <c r="H66" s="1" t="n">
        <f aca="false">G66-10</f>
        <v>48.3631643083466</v>
      </c>
      <c r="I66" s="1" t="n">
        <f aca="false">H66-10</f>
        <v>38.3631643083466</v>
      </c>
      <c r="J66" s="1" t="n">
        <f aca="false">I66-10</f>
        <v>28.3631643083466</v>
      </c>
      <c r="K66" s="1" t="n">
        <f aca="false">J66-10</f>
        <v>18.3631643083466</v>
      </c>
      <c r="L66" s="1" t="n">
        <f aca="false">K66-10</f>
        <v>8.3631643083466</v>
      </c>
      <c r="M66" s="1"/>
    </row>
    <row r="67" customFormat="false" ht="12.8" hidden="false" customHeight="false" outlineLevel="0" collapsed="false">
      <c r="C67" s="5" t="n">
        <f aca="false">IF(D64&gt;10,100,D64)</f>
        <v>100</v>
      </c>
      <c r="D67" s="5" t="n">
        <f aca="false">IF(D66&gt;10,100,IF(D66&lt;0,0,D66*10))</f>
        <v>100</v>
      </c>
      <c r="E67" s="5" t="n">
        <f aca="false">IF(E66&gt;10,100,IF(E66&lt;0,0,E66*10))</f>
        <v>100</v>
      </c>
      <c r="F67" s="5" t="n">
        <f aca="false">IF(F66&gt;10,100,IF(F66&lt;0,0,F66*10))</f>
        <v>100</v>
      </c>
      <c r="G67" s="5" t="n">
        <f aca="false">IF(G66&gt;10,100,IF(G66&lt;0,0,G66*10))</f>
        <v>100</v>
      </c>
      <c r="H67" s="5" t="n">
        <f aca="false">IF(H66&gt;10,100,IF(H66&lt;0,0,H66*10))</f>
        <v>100</v>
      </c>
      <c r="I67" s="5" t="n">
        <f aca="false">IF(I66&gt;10,100,IF(I66&lt;0,0,I66*10))</f>
        <v>100</v>
      </c>
      <c r="J67" s="5" t="n">
        <f aca="false">IF(J66&gt;10,100,IF(J66&lt;0,0,J66*10))</f>
        <v>100</v>
      </c>
      <c r="K67" s="5" t="n">
        <f aca="false">IF(K66&gt;10,100,IF(K66&lt;0,0,K66*10))</f>
        <v>100</v>
      </c>
      <c r="L67" s="5" t="n">
        <f aca="false">IF(L66&gt;10,100,IF(L66&lt;0,0,L66*10))</f>
        <v>83.631643083466</v>
      </c>
      <c r="M67" s="1" t="s">
        <v>30</v>
      </c>
    </row>
    <row r="69" customFormat="false" ht="12.8" hidden="false" customHeight="false" outlineLevel="0" collapsed="false">
      <c r="B69" s="1" t="str">
        <f aca="false">G8</f>
        <v>Intervalo 6</v>
      </c>
      <c r="C69" s="2" t="n">
        <f aca="false">G7</f>
        <v>0.983631643083466</v>
      </c>
      <c r="D69" s="1" t="n">
        <f aca="false">C69*100</f>
        <v>98.3631643083466</v>
      </c>
    </row>
    <row r="70" customFormat="false" ht="12.8" hidden="false" customHeight="false" outlineLevel="0" collapsed="false">
      <c r="B70" s="1" t="n">
        <v>0</v>
      </c>
      <c r="C70" s="1" t="n">
        <v>100</v>
      </c>
      <c r="D70" s="1" t="n">
        <v>200</v>
      </c>
      <c r="E70" s="1" t="n">
        <v>300</v>
      </c>
      <c r="F70" s="1" t="n">
        <v>400</v>
      </c>
      <c r="G70" s="1" t="n">
        <v>500</v>
      </c>
      <c r="H70" s="1" t="n">
        <v>600</v>
      </c>
      <c r="I70" s="1" t="n">
        <v>700</v>
      </c>
      <c r="J70" s="1" t="n">
        <v>800</v>
      </c>
      <c r="K70" s="1" t="n">
        <v>9000</v>
      </c>
      <c r="L70" s="1" t="n">
        <v>1000</v>
      </c>
      <c r="M70" s="1" t="s">
        <v>29</v>
      </c>
    </row>
    <row r="71" customFormat="false" ht="12.8" hidden="false" customHeight="false" outlineLevel="0" collapsed="false">
      <c r="D71" s="1" t="n">
        <f aca="false">D69-10</f>
        <v>88.3631643083466</v>
      </c>
      <c r="E71" s="1" t="n">
        <f aca="false">D71-10</f>
        <v>78.3631643083466</v>
      </c>
      <c r="F71" s="1" t="n">
        <f aca="false">E71-10</f>
        <v>68.3631643083466</v>
      </c>
      <c r="G71" s="1" t="n">
        <f aca="false">F71-10</f>
        <v>58.3631643083466</v>
      </c>
      <c r="H71" s="1" t="n">
        <f aca="false">G71-10</f>
        <v>48.3631643083466</v>
      </c>
      <c r="I71" s="1" t="n">
        <f aca="false">H71-10</f>
        <v>38.3631643083466</v>
      </c>
      <c r="J71" s="1" t="n">
        <f aca="false">I71-10</f>
        <v>28.3631643083466</v>
      </c>
      <c r="K71" s="1" t="n">
        <f aca="false">J71-10</f>
        <v>18.3631643083466</v>
      </c>
      <c r="L71" s="1" t="n">
        <f aca="false">K71-10</f>
        <v>8.3631643083466</v>
      </c>
      <c r="M71" s="1"/>
    </row>
    <row r="72" customFormat="false" ht="12.8" hidden="false" customHeight="false" outlineLevel="0" collapsed="false">
      <c r="C72" s="5" t="n">
        <f aca="false">IF(D69&gt;10,100,D69)</f>
        <v>100</v>
      </c>
      <c r="D72" s="5" t="n">
        <f aca="false">IF(D71&gt;10,100,IF(D71&lt;0,0,D71*10))</f>
        <v>100</v>
      </c>
      <c r="E72" s="5" t="n">
        <f aca="false">IF(E71&gt;10,100,IF(E71&lt;0,0,E71*10))</f>
        <v>100</v>
      </c>
      <c r="F72" s="5" t="n">
        <f aca="false">IF(F71&gt;10,100,IF(F71&lt;0,0,F71*10))</f>
        <v>100</v>
      </c>
      <c r="G72" s="5" t="n">
        <f aca="false">IF(G71&gt;10,100,IF(G71&lt;0,0,G71*10))</f>
        <v>100</v>
      </c>
      <c r="H72" s="5" t="n">
        <f aca="false">IF(H71&gt;10,100,IF(H71&lt;0,0,H71*10))</f>
        <v>100</v>
      </c>
      <c r="I72" s="5" t="n">
        <f aca="false">IF(I71&gt;10,100,IF(I71&lt;0,0,I71*10))</f>
        <v>100</v>
      </c>
      <c r="J72" s="5" t="n">
        <f aca="false">IF(J71&gt;10,100,IF(J71&lt;0,0,J71*10))</f>
        <v>100</v>
      </c>
      <c r="K72" s="5" t="n">
        <f aca="false">IF(K71&gt;10,100,IF(K71&lt;0,0,K71*10))</f>
        <v>100</v>
      </c>
      <c r="L72" s="5" t="n">
        <f aca="false">IF(L71&gt;10,100,IF(L71&lt;0,0,L71*10))</f>
        <v>83.631643083466</v>
      </c>
      <c r="M72" s="1" t="s">
        <v>30</v>
      </c>
    </row>
    <row r="74" customFormat="false" ht="12.8" hidden="false" customHeight="false" outlineLevel="0" collapsed="false">
      <c r="B74" s="1" t="str">
        <f aca="false">H8</f>
        <v>Intervalo 7</v>
      </c>
      <c r="C74" s="2" t="n">
        <f aca="false">H7</f>
        <v>0.887346924493812</v>
      </c>
      <c r="D74" s="1" t="n">
        <f aca="false">C74*100</f>
        <v>88.7346924493812</v>
      </c>
    </row>
    <row r="75" customFormat="false" ht="12.8" hidden="false" customHeight="false" outlineLevel="0" collapsed="false">
      <c r="B75" s="1" t="n">
        <v>0</v>
      </c>
      <c r="C75" s="1" t="n">
        <v>100</v>
      </c>
      <c r="D75" s="1" t="n">
        <v>200</v>
      </c>
      <c r="E75" s="1" t="n">
        <v>300</v>
      </c>
      <c r="F75" s="1" t="n">
        <v>400</v>
      </c>
      <c r="G75" s="1" t="n">
        <v>500</v>
      </c>
      <c r="H75" s="1" t="n">
        <v>600</v>
      </c>
      <c r="I75" s="1" t="n">
        <v>700</v>
      </c>
      <c r="J75" s="1" t="n">
        <v>800</v>
      </c>
      <c r="K75" s="1" t="n">
        <v>9000</v>
      </c>
      <c r="L75" s="1" t="n">
        <v>1000</v>
      </c>
      <c r="M75" s="1" t="s">
        <v>29</v>
      </c>
    </row>
    <row r="76" customFormat="false" ht="12.8" hidden="false" customHeight="false" outlineLevel="0" collapsed="false">
      <c r="D76" s="1" t="n">
        <f aca="false">D74-10</f>
        <v>78.7346924493812</v>
      </c>
      <c r="E76" s="1" t="n">
        <f aca="false">D76-10</f>
        <v>68.7346924493812</v>
      </c>
      <c r="F76" s="1" t="n">
        <f aca="false">E76-10</f>
        <v>58.7346924493812</v>
      </c>
      <c r="G76" s="1" t="n">
        <f aca="false">F76-10</f>
        <v>48.7346924493812</v>
      </c>
      <c r="H76" s="1" t="n">
        <f aca="false">G76-10</f>
        <v>38.7346924493812</v>
      </c>
      <c r="I76" s="1" t="n">
        <f aca="false">H76-10</f>
        <v>28.7346924493812</v>
      </c>
      <c r="J76" s="1" t="n">
        <f aca="false">I76-10</f>
        <v>18.7346924493812</v>
      </c>
      <c r="K76" s="1" t="n">
        <f aca="false">J76-10</f>
        <v>8.7346924493812</v>
      </c>
      <c r="L76" s="1" t="n">
        <f aca="false">K76-10</f>
        <v>-1.2653075506188</v>
      </c>
      <c r="M76" s="1"/>
    </row>
    <row r="77" customFormat="false" ht="12.8" hidden="false" customHeight="false" outlineLevel="0" collapsed="false">
      <c r="C77" s="5" t="n">
        <f aca="false">IF(D74&gt;10,100,D74)</f>
        <v>100</v>
      </c>
      <c r="D77" s="5" t="n">
        <f aca="false">IF(D76&gt;10,100,IF(D76&lt;0,0,D76*10))</f>
        <v>100</v>
      </c>
      <c r="E77" s="5" t="n">
        <f aca="false">IF(E76&gt;10,100,IF(E76&lt;0,0,E76*10))</f>
        <v>100</v>
      </c>
      <c r="F77" s="5" t="n">
        <f aca="false">IF(F76&gt;10,100,IF(F76&lt;0,0,F76*10))</f>
        <v>100</v>
      </c>
      <c r="G77" s="5" t="n">
        <f aca="false">IF(G76&gt;10,100,IF(G76&lt;0,0,G76*10))</f>
        <v>100</v>
      </c>
      <c r="H77" s="5" t="n">
        <f aca="false">IF(H76&gt;10,100,IF(H76&lt;0,0,H76*10))</f>
        <v>100</v>
      </c>
      <c r="I77" s="5" t="n">
        <f aca="false">IF(I76&gt;10,100,IF(I76&lt;0,0,I76*10))</f>
        <v>100</v>
      </c>
      <c r="J77" s="5" t="n">
        <f aca="false">IF(J76&gt;10,100,IF(J76&lt;0,0,J76*10))</f>
        <v>100</v>
      </c>
      <c r="K77" s="5" t="n">
        <f aca="false">IF(K76&gt;10,100,IF(K76&lt;0,0,K76*10))</f>
        <v>87.346924493812</v>
      </c>
      <c r="L77" s="5" t="n">
        <f aca="false">IF(L76&gt;10,100,IF(L76&lt;0,0,L76*10))</f>
        <v>0</v>
      </c>
      <c r="M77" s="1" t="s">
        <v>30</v>
      </c>
    </row>
    <row r="79" customFormat="false" ht="12.8" hidden="false" customHeight="false" outlineLevel="0" collapsed="false">
      <c r="B79" s="1" t="str">
        <f aca="false">I8</f>
        <v>Intervalo 8</v>
      </c>
      <c r="C79" s="2" t="n">
        <f aca="false">I7</f>
        <v>0.704202506425141</v>
      </c>
      <c r="D79" s="1" t="n">
        <f aca="false">C79*100</f>
        <v>70.4202506425141</v>
      </c>
    </row>
    <row r="80" customFormat="false" ht="12.8" hidden="false" customHeight="false" outlineLevel="0" collapsed="false">
      <c r="B80" s="1" t="n">
        <v>0</v>
      </c>
      <c r="C80" s="1" t="n">
        <v>100</v>
      </c>
      <c r="D80" s="1" t="n">
        <v>200</v>
      </c>
      <c r="E80" s="1" t="n">
        <v>300</v>
      </c>
      <c r="F80" s="1" t="n">
        <v>400</v>
      </c>
      <c r="G80" s="1" t="n">
        <v>500</v>
      </c>
      <c r="H80" s="1" t="n">
        <v>600</v>
      </c>
      <c r="I80" s="1" t="n">
        <v>700</v>
      </c>
      <c r="J80" s="1" t="n">
        <v>800</v>
      </c>
      <c r="K80" s="1" t="n">
        <v>9000</v>
      </c>
      <c r="L80" s="1" t="n">
        <v>1000</v>
      </c>
      <c r="M80" s="1" t="s">
        <v>29</v>
      </c>
    </row>
    <row r="81" customFormat="false" ht="12.8" hidden="false" customHeight="false" outlineLevel="0" collapsed="false">
      <c r="D81" s="1" t="n">
        <f aca="false">D79-10</f>
        <v>60.4202506425141</v>
      </c>
      <c r="E81" s="1" t="n">
        <f aca="false">D81-10</f>
        <v>50.4202506425141</v>
      </c>
      <c r="F81" s="1" t="n">
        <f aca="false">E81-10</f>
        <v>40.4202506425141</v>
      </c>
      <c r="G81" s="1" t="n">
        <f aca="false">F81-10</f>
        <v>30.4202506425141</v>
      </c>
      <c r="H81" s="1" t="n">
        <f aca="false">G81-10</f>
        <v>20.4202506425141</v>
      </c>
      <c r="I81" s="1" t="n">
        <f aca="false">H81-10</f>
        <v>10.4202506425141</v>
      </c>
      <c r="J81" s="1" t="n">
        <f aca="false">I81-10</f>
        <v>0.420250642514105</v>
      </c>
      <c r="K81" s="1" t="n">
        <f aca="false">J81-10</f>
        <v>-9.5797493574859</v>
      </c>
      <c r="L81" s="1" t="n">
        <f aca="false">K81-10</f>
        <v>-19.5797493574859</v>
      </c>
      <c r="M81" s="1"/>
    </row>
    <row r="82" customFormat="false" ht="12.8" hidden="false" customHeight="false" outlineLevel="0" collapsed="false">
      <c r="C82" s="5" t="n">
        <f aca="false">IF(D79&gt;10,100,D79)</f>
        <v>100</v>
      </c>
      <c r="D82" s="5" t="n">
        <f aca="false">IF(D81&gt;10,100,IF(D81&lt;0,0,D81*10))</f>
        <v>100</v>
      </c>
      <c r="E82" s="5" t="n">
        <f aca="false">IF(E81&gt;10,100,IF(E81&lt;0,0,E81*10))</f>
        <v>100</v>
      </c>
      <c r="F82" s="5" t="n">
        <f aca="false">IF(F81&gt;10,100,IF(F81&lt;0,0,F81*10))</f>
        <v>100</v>
      </c>
      <c r="G82" s="5" t="n">
        <f aca="false">IF(G81&gt;10,100,IF(G81&lt;0,0,G81*10))</f>
        <v>100</v>
      </c>
      <c r="H82" s="5" t="n">
        <f aca="false">IF(H81&gt;10,100,IF(H81&lt;0,0,H81*10))</f>
        <v>100</v>
      </c>
      <c r="I82" s="5" t="n">
        <f aca="false">IF(I81&gt;10,100,IF(I81&lt;0,0,I81*10))</f>
        <v>100</v>
      </c>
      <c r="J82" s="5" t="n">
        <f aca="false">IF(J81&gt;10,100,IF(J81&lt;0,0,J81*10))</f>
        <v>4.20250642514105</v>
      </c>
      <c r="K82" s="5" t="n">
        <f aca="false">IF(K81&gt;10,100,IF(K81&lt;0,0,K81*10))</f>
        <v>0</v>
      </c>
      <c r="L82" s="5" t="n">
        <f aca="false">IF(L81&gt;10,100,IF(L81&lt;0,0,L81*10))</f>
        <v>0</v>
      </c>
      <c r="M82" s="1" t="s">
        <v>30</v>
      </c>
    </row>
    <row r="84" customFormat="false" ht="12.8" hidden="false" customHeight="false" outlineLevel="0" collapsed="false">
      <c r="B84" s="1" t="str">
        <f aca="false">J8</f>
        <v>Intervalo 9</v>
      </c>
      <c r="C84" s="2" t="n">
        <f aca="false">J7</f>
        <v>0.452125840560209</v>
      </c>
      <c r="D84" s="1" t="n">
        <f aca="false">C84*100</f>
        <v>45.2125840560209</v>
      </c>
    </row>
    <row r="85" customFormat="false" ht="12.8" hidden="false" customHeight="false" outlineLevel="0" collapsed="false">
      <c r="B85" s="1" t="n">
        <v>0</v>
      </c>
      <c r="C85" s="1" t="n">
        <v>100</v>
      </c>
      <c r="D85" s="1" t="n">
        <v>200</v>
      </c>
      <c r="E85" s="1" t="n">
        <v>300</v>
      </c>
      <c r="F85" s="1" t="n">
        <v>400</v>
      </c>
      <c r="G85" s="1" t="n">
        <v>500</v>
      </c>
      <c r="H85" s="1" t="n">
        <v>600</v>
      </c>
      <c r="I85" s="1" t="n">
        <v>700</v>
      </c>
      <c r="J85" s="1" t="n">
        <v>800</v>
      </c>
      <c r="K85" s="1" t="n">
        <v>9000</v>
      </c>
      <c r="L85" s="1" t="n">
        <v>1000</v>
      </c>
      <c r="M85" s="1" t="s">
        <v>29</v>
      </c>
    </row>
    <row r="86" customFormat="false" ht="12.8" hidden="false" customHeight="false" outlineLevel="0" collapsed="false">
      <c r="D86" s="1" t="n">
        <f aca="false">D84-10</f>
        <v>35.2125840560209</v>
      </c>
      <c r="E86" s="1" t="n">
        <f aca="false">D86-10</f>
        <v>25.2125840560209</v>
      </c>
      <c r="F86" s="1" t="n">
        <f aca="false">E86-10</f>
        <v>15.2125840560209</v>
      </c>
      <c r="G86" s="1" t="n">
        <f aca="false">F86-10</f>
        <v>5.2125840560209</v>
      </c>
      <c r="H86" s="1" t="n">
        <f aca="false">G86-10</f>
        <v>-4.7874159439791</v>
      </c>
      <c r="I86" s="1" t="n">
        <f aca="false">H86-10</f>
        <v>-14.7874159439791</v>
      </c>
      <c r="J86" s="1" t="n">
        <f aca="false">I86-10</f>
        <v>-24.7874159439791</v>
      </c>
      <c r="K86" s="1" t="n">
        <f aca="false">J86-10</f>
        <v>-34.7874159439791</v>
      </c>
      <c r="L86" s="1" t="n">
        <f aca="false">K86-10</f>
        <v>-44.7874159439791</v>
      </c>
      <c r="M86" s="1"/>
    </row>
    <row r="87" customFormat="false" ht="12.8" hidden="false" customHeight="false" outlineLevel="0" collapsed="false">
      <c r="C87" s="5" t="n">
        <f aca="false">IF(D84&gt;10,100,D84)</f>
        <v>100</v>
      </c>
      <c r="D87" s="5" t="n">
        <f aca="false">IF(D86&gt;10,100,IF(D86&lt;0,0,D86*10))</f>
        <v>100</v>
      </c>
      <c r="E87" s="5" t="n">
        <f aca="false">IF(E86&gt;10,100,IF(E86&lt;0,0,E86*10))</f>
        <v>100</v>
      </c>
      <c r="F87" s="5" t="n">
        <f aca="false">IF(F86&gt;10,100,IF(F86&lt;0,0,F86*10))</f>
        <v>100</v>
      </c>
      <c r="G87" s="5" t="n">
        <f aca="false">IF(G86&gt;10,100,IF(G86&lt;0,0,G86*10))</f>
        <v>52.125840560209</v>
      </c>
      <c r="H87" s="5" t="n">
        <f aca="false">IF(H86&gt;10,100,IF(H86&lt;0,0,H86*10))</f>
        <v>0</v>
      </c>
      <c r="I87" s="5" t="n">
        <f aca="false">IF(I86&gt;10,100,IF(I86&lt;0,0,I86*10))</f>
        <v>0</v>
      </c>
      <c r="J87" s="5" t="n">
        <f aca="false">IF(J86&gt;10,100,IF(J86&lt;0,0,J86*10))</f>
        <v>0</v>
      </c>
      <c r="K87" s="5" t="n">
        <f aca="false">IF(K86&gt;10,100,IF(K86&lt;0,0,K86*10))</f>
        <v>0</v>
      </c>
      <c r="L87" s="5" t="n">
        <f aca="false">IF(L86&gt;10,100,IF(L86&lt;0,0,L86*10))</f>
        <v>0</v>
      </c>
      <c r="M87" s="1" t="s">
        <v>30</v>
      </c>
    </row>
    <row r="89" customFormat="false" ht="12.8" hidden="false" customHeight="false" outlineLevel="0" collapsed="false">
      <c r="B89" s="1" t="str">
        <f aca="false">K8</f>
        <v>Intervalo 10</v>
      </c>
      <c r="C89" s="2" t="n">
        <f aca="false">K7</f>
        <v>0.155791947275279</v>
      </c>
      <c r="D89" s="1" t="n">
        <f aca="false">C89*100</f>
        <v>15.5791947275279</v>
      </c>
    </row>
    <row r="90" customFormat="false" ht="12.8" hidden="false" customHeight="false" outlineLevel="0" collapsed="false">
      <c r="B90" s="1" t="n">
        <v>0</v>
      </c>
      <c r="C90" s="1" t="n">
        <v>100</v>
      </c>
      <c r="D90" s="1" t="n">
        <v>200</v>
      </c>
      <c r="E90" s="1" t="n">
        <v>300</v>
      </c>
      <c r="F90" s="1" t="n">
        <v>400</v>
      </c>
      <c r="G90" s="1" t="n">
        <v>500</v>
      </c>
      <c r="H90" s="1" t="n">
        <v>600</v>
      </c>
      <c r="I90" s="1" t="n">
        <v>700</v>
      </c>
      <c r="J90" s="1" t="n">
        <v>800</v>
      </c>
      <c r="K90" s="1" t="n">
        <v>9000</v>
      </c>
      <c r="L90" s="1" t="n">
        <v>1000</v>
      </c>
      <c r="M90" s="1" t="s">
        <v>29</v>
      </c>
    </row>
    <row r="91" customFormat="false" ht="12.8" hidden="false" customHeight="false" outlineLevel="0" collapsed="false">
      <c r="D91" s="1" t="n">
        <f aca="false">D89-10</f>
        <v>5.5791947275279</v>
      </c>
      <c r="E91" s="1" t="n">
        <f aca="false">D91-10</f>
        <v>-4.4208052724721</v>
      </c>
      <c r="F91" s="1" t="n">
        <f aca="false">E91-10</f>
        <v>-14.4208052724721</v>
      </c>
      <c r="G91" s="1" t="n">
        <f aca="false">F91-10</f>
        <v>-24.4208052724721</v>
      </c>
      <c r="H91" s="1" t="n">
        <f aca="false">G91-10</f>
        <v>-34.4208052724721</v>
      </c>
      <c r="I91" s="1" t="n">
        <f aca="false">H91-10</f>
        <v>-44.4208052724721</v>
      </c>
      <c r="J91" s="1" t="n">
        <f aca="false">I91-10</f>
        <v>-54.4208052724721</v>
      </c>
      <c r="K91" s="1" t="n">
        <f aca="false">J91-10</f>
        <v>-64.4208052724721</v>
      </c>
      <c r="L91" s="1" t="n">
        <f aca="false">K91-10</f>
        <v>-74.4208052724721</v>
      </c>
      <c r="M91" s="1"/>
    </row>
    <row r="92" customFormat="false" ht="12.8" hidden="false" customHeight="false" outlineLevel="0" collapsed="false">
      <c r="C92" s="5" t="n">
        <f aca="false">IF(D89&gt;10,100,D89)</f>
        <v>100</v>
      </c>
      <c r="D92" s="5" t="n">
        <f aca="false">IF(D91&gt;10,100,IF(D91&lt;0,0,D91*10))</f>
        <v>55.791947275279</v>
      </c>
      <c r="E92" s="5" t="n">
        <f aca="false">IF(E91&gt;10,100,IF(E91&lt;0,0,E91*10))</f>
        <v>0</v>
      </c>
      <c r="F92" s="5" t="n">
        <f aca="false">IF(F91&gt;10,100,IF(F91&lt;0,0,F91*10))</f>
        <v>0</v>
      </c>
      <c r="G92" s="5" t="n">
        <f aca="false">IF(G91&gt;10,100,IF(G91&lt;0,0,G91*10))</f>
        <v>0</v>
      </c>
      <c r="H92" s="5" t="n">
        <f aca="false">IF(H91&gt;10,100,IF(H91&lt;0,0,H91*10))</f>
        <v>0</v>
      </c>
      <c r="I92" s="5" t="n">
        <f aca="false">IF(I91&gt;10,100,IF(I91&lt;0,0,I91*10))</f>
        <v>0</v>
      </c>
      <c r="J92" s="5" t="n">
        <f aca="false">IF(J91&gt;10,100,IF(J91&lt;0,0,J91*10))</f>
        <v>0</v>
      </c>
      <c r="K92" s="5" t="n">
        <f aca="false">IF(K91&gt;10,100,IF(K91&lt;0,0,K91*10))</f>
        <v>0</v>
      </c>
      <c r="L92" s="5" t="n">
        <f aca="false">IF(L91&gt;10,100,IF(L91&lt;0,0,L91*10))</f>
        <v>0</v>
      </c>
      <c r="M92" s="1" t="s">
        <v>30</v>
      </c>
    </row>
    <row r="96" customFormat="false" ht="12.8" hidden="false" customHeight="false" outlineLevel="0" collapsed="false">
      <c r="B96" s="1" t="s">
        <v>31</v>
      </c>
      <c r="C96" s="3" t="n">
        <f aca="false">C47</f>
        <v>100</v>
      </c>
      <c r="D96" s="3" t="n">
        <f aca="false">D47</f>
        <v>55.791947275279</v>
      </c>
      <c r="E96" s="3" t="n">
        <f aca="false">E47</f>
        <v>0</v>
      </c>
      <c r="F96" s="3" t="n">
        <f aca="false">F47</f>
        <v>0</v>
      </c>
      <c r="G96" s="3" t="n">
        <f aca="false">G47</f>
        <v>0</v>
      </c>
      <c r="H96" s="3" t="n">
        <f aca="false">H47</f>
        <v>0</v>
      </c>
      <c r="I96" s="3" t="n">
        <f aca="false">I47</f>
        <v>0</v>
      </c>
      <c r="J96" s="3" t="n">
        <f aca="false">J47</f>
        <v>0</v>
      </c>
      <c r="K96" s="3" t="n">
        <f aca="false">K47</f>
        <v>0</v>
      </c>
      <c r="L96" s="3" t="n">
        <f aca="false">L47</f>
        <v>0</v>
      </c>
      <c r="M96" s="3" t="n">
        <f aca="false">C52</f>
        <v>100</v>
      </c>
      <c r="N96" s="3" t="n">
        <f aca="false">D52</f>
        <v>100</v>
      </c>
      <c r="O96" s="3" t="n">
        <f aca="false">E52</f>
        <v>100</v>
      </c>
      <c r="P96" s="3" t="n">
        <f aca="false">F52</f>
        <v>100</v>
      </c>
      <c r="Q96" s="3" t="n">
        <f aca="false">G52</f>
        <v>52.125840560208</v>
      </c>
      <c r="R96" s="3" t="n">
        <f aca="false">H52</f>
        <v>0</v>
      </c>
      <c r="S96" s="3" t="n">
        <f aca="false">I52</f>
        <v>0</v>
      </c>
      <c r="T96" s="3" t="n">
        <f aca="false">J52</f>
        <v>0</v>
      </c>
      <c r="U96" s="3" t="n">
        <f aca="false">K52</f>
        <v>0</v>
      </c>
      <c r="V96" s="3" t="n">
        <f aca="false">L52</f>
        <v>0</v>
      </c>
      <c r="W96" s="1" t="n">
        <f aca="false">C57</f>
        <v>100</v>
      </c>
      <c r="X96" s="3" t="n">
        <f aca="false">D57</f>
        <v>100</v>
      </c>
      <c r="Y96" s="3" t="n">
        <f aca="false">E57</f>
        <v>100</v>
      </c>
      <c r="Z96" s="3" t="n">
        <f aca="false">F57</f>
        <v>100</v>
      </c>
      <c r="AA96" s="3" t="n">
        <f aca="false">G57</f>
        <v>100</v>
      </c>
      <c r="AB96" s="3" t="n">
        <f aca="false">H57</f>
        <v>100</v>
      </c>
      <c r="AC96" s="3" t="n">
        <f aca="false">I57</f>
        <v>100</v>
      </c>
      <c r="AD96" s="3" t="n">
        <f aca="false">J57</f>
        <v>4.20250642514105</v>
      </c>
      <c r="AE96" s="3" t="n">
        <f aca="false">K57</f>
        <v>0</v>
      </c>
      <c r="AF96" s="3" t="n">
        <f aca="false">L57</f>
        <v>0</v>
      </c>
      <c r="AG96" s="1" t="n">
        <f aca="false">C62</f>
        <v>100</v>
      </c>
      <c r="AH96" s="3" t="n">
        <f aca="false">D62</f>
        <v>100</v>
      </c>
      <c r="AI96" s="3" t="n">
        <f aca="false">E62</f>
        <v>100</v>
      </c>
      <c r="AJ96" s="3" t="n">
        <f aca="false">F62</f>
        <v>100</v>
      </c>
      <c r="AK96" s="3" t="n">
        <f aca="false">G62</f>
        <v>100</v>
      </c>
      <c r="AL96" s="3" t="n">
        <f aca="false">H62</f>
        <v>100</v>
      </c>
      <c r="AM96" s="3" t="n">
        <f aca="false">I62</f>
        <v>100</v>
      </c>
      <c r="AN96" s="3" t="n">
        <f aca="false">J62</f>
        <v>100</v>
      </c>
      <c r="AO96" s="3" t="n">
        <f aca="false">K62</f>
        <v>87.346924493812</v>
      </c>
      <c r="AP96" s="3" t="n">
        <f aca="false">L62</f>
        <v>0</v>
      </c>
      <c r="AQ96" s="1" t="n">
        <f aca="false">C67</f>
        <v>100</v>
      </c>
      <c r="AR96" s="3" t="n">
        <f aca="false">D67</f>
        <v>100</v>
      </c>
      <c r="AS96" s="3" t="n">
        <f aca="false">E67</f>
        <v>100</v>
      </c>
      <c r="AT96" s="3" t="n">
        <f aca="false">F67</f>
        <v>100</v>
      </c>
      <c r="AU96" s="3" t="n">
        <f aca="false">G67</f>
        <v>100</v>
      </c>
      <c r="AV96" s="3" t="n">
        <f aca="false">H67</f>
        <v>100</v>
      </c>
      <c r="AW96" s="3" t="n">
        <f aca="false">I67</f>
        <v>100</v>
      </c>
      <c r="AX96" s="3" t="n">
        <f aca="false">J67</f>
        <v>100</v>
      </c>
      <c r="AY96" s="3" t="n">
        <f aca="false">K67</f>
        <v>100</v>
      </c>
      <c r="AZ96" s="3" t="n">
        <f aca="false">L67</f>
        <v>83.631643083466</v>
      </c>
      <c r="BA96" s="1" t="n">
        <f aca="false">C72</f>
        <v>100</v>
      </c>
      <c r="BB96" s="3" t="n">
        <f aca="false">D72</f>
        <v>100</v>
      </c>
      <c r="BC96" s="3" t="n">
        <f aca="false">E72</f>
        <v>100</v>
      </c>
      <c r="BD96" s="3" t="n">
        <f aca="false">F72</f>
        <v>100</v>
      </c>
      <c r="BE96" s="3" t="n">
        <f aca="false">G72</f>
        <v>100</v>
      </c>
      <c r="BF96" s="3" t="n">
        <f aca="false">H72</f>
        <v>100</v>
      </c>
      <c r="BG96" s="3" t="n">
        <f aca="false">I72</f>
        <v>100</v>
      </c>
      <c r="BH96" s="3" t="n">
        <f aca="false">J72</f>
        <v>100</v>
      </c>
      <c r="BI96" s="3" t="n">
        <f aca="false">K72</f>
        <v>100</v>
      </c>
      <c r="BJ96" s="3" t="n">
        <f aca="false">L72</f>
        <v>83.631643083466</v>
      </c>
      <c r="BK96" s="1" t="n">
        <f aca="false">C77</f>
        <v>100</v>
      </c>
      <c r="BL96" s="3" t="n">
        <f aca="false">D77</f>
        <v>100</v>
      </c>
      <c r="BM96" s="3" t="n">
        <f aca="false">E77</f>
        <v>100</v>
      </c>
      <c r="BN96" s="3" t="n">
        <f aca="false">F77</f>
        <v>100</v>
      </c>
      <c r="BO96" s="3" t="n">
        <f aca="false">G77</f>
        <v>100</v>
      </c>
      <c r="BP96" s="3" t="n">
        <f aca="false">H77</f>
        <v>100</v>
      </c>
      <c r="BQ96" s="3" t="n">
        <f aca="false">I77</f>
        <v>100</v>
      </c>
      <c r="BR96" s="3" t="n">
        <f aca="false">J77</f>
        <v>100</v>
      </c>
      <c r="BS96" s="3" t="n">
        <f aca="false">K77</f>
        <v>87.346924493812</v>
      </c>
      <c r="BT96" s="3" t="n">
        <f aca="false">L77</f>
        <v>0</v>
      </c>
      <c r="BU96" s="1" t="n">
        <f aca="false">C82</f>
        <v>100</v>
      </c>
      <c r="BV96" s="3" t="n">
        <f aca="false">D82</f>
        <v>100</v>
      </c>
      <c r="BW96" s="3" t="n">
        <f aca="false">E82</f>
        <v>100</v>
      </c>
      <c r="BX96" s="3" t="n">
        <f aca="false">F82</f>
        <v>100</v>
      </c>
      <c r="BY96" s="3" t="n">
        <f aca="false">G82</f>
        <v>100</v>
      </c>
      <c r="BZ96" s="3" t="n">
        <f aca="false">H82</f>
        <v>100</v>
      </c>
      <c r="CA96" s="3" t="n">
        <f aca="false">I82</f>
        <v>100</v>
      </c>
      <c r="CB96" s="3" t="n">
        <f aca="false">J82</f>
        <v>4.20250642514105</v>
      </c>
      <c r="CC96" s="3" t="n">
        <f aca="false">K82</f>
        <v>0</v>
      </c>
      <c r="CD96" s="3" t="n">
        <f aca="false">L82</f>
        <v>0</v>
      </c>
      <c r="CE96" s="1" t="n">
        <f aca="false">C87</f>
        <v>100</v>
      </c>
      <c r="CF96" s="3" t="n">
        <f aca="false">D87</f>
        <v>100</v>
      </c>
      <c r="CG96" s="3" t="n">
        <f aca="false">E87</f>
        <v>100</v>
      </c>
      <c r="CH96" s="3" t="n">
        <f aca="false">F87</f>
        <v>100</v>
      </c>
      <c r="CI96" s="3" t="n">
        <f aca="false">G87</f>
        <v>52.125840560209</v>
      </c>
      <c r="CJ96" s="3" t="n">
        <f aca="false">H87</f>
        <v>0</v>
      </c>
      <c r="CK96" s="3" t="n">
        <f aca="false">I87</f>
        <v>0</v>
      </c>
      <c r="CL96" s="3" t="n">
        <f aca="false">J87</f>
        <v>0</v>
      </c>
      <c r="CM96" s="3" t="n">
        <f aca="false">K87</f>
        <v>0</v>
      </c>
      <c r="CN96" s="3" t="n">
        <f aca="false">L87</f>
        <v>0</v>
      </c>
      <c r="CO96" s="1" t="n">
        <f aca="false">C92</f>
        <v>100</v>
      </c>
      <c r="CP96" s="3" t="n">
        <f aca="false">D92</f>
        <v>55.791947275279</v>
      </c>
      <c r="CQ96" s="3" t="n">
        <f aca="false">E92</f>
        <v>0</v>
      </c>
      <c r="CR96" s="3" t="n">
        <f aca="false">F92</f>
        <v>0</v>
      </c>
      <c r="CS96" s="3" t="n">
        <f aca="false">G92</f>
        <v>0</v>
      </c>
      <c r="CT96" s="3" t="n">
        <f aca="false">H92</f>
        <v>0</v>
      </c>
      <c r="CU96" s="3" t="n">
        <f aca="false">I92</f>
        <v>0</v>
      </c>
      <c r="CV96" s="3" t="n">
        <f aca="false">J92</f>
        <v>0</v>
      </c>
      <c r="CW96" s="3" t="n">
        <f aca="false">K92</f>
        <v>0</v>
      </c>
      <c r="CX96" s="3" t="n">
        <f aca="false">L92</f>
        <v>0</v>
      </c>
    </row>
    <row r="97" customFormat="false" ht="12.8" hidden="false" customHeight="false" outlineLevel="0" collapsed="false">
      <c r="B97" s="1" t="s">
        <v>32</v>
      </c>
      <c r="C97" s="6" t="n">
        <f aca="false">C96</f>
        <v>100</v>
      </c>
      <c r="D97" s="6" t="n">
        <f aca="false">D96</f>
        <v>55.791947275279</v>
      </c>
      <c r="E97" s="6" t="n">
        <f aca="false">E96</f>
        <v>0</v>
      </c>
      <c r="F97" s="6" t="n">
        <f aca="false">F96</f>
        <v>0</v>
      </c>
      <c r="G97" s="6" t="n">
        <f aca="false">G96</f>
        <v>0</v>
      </c>
      <c r="H97" s="6" t="n">
        <f aca="false">H96</f>
        <v>0</v>
      </c>
      <c r="I97" s="6" t="n">
        <f aca="false">I96</f>
        <v>0</v>
      </c>
      <c r="J97" s="6" t="n">
        <f aca="false">J96</f>
        <v>0</v>
      </c>
      <c r="K97" s="6" t="n">
        <f aca="false">K96</f>
        <v>0</v>
      </c>
      <c r="L97" s="6" t="n">
        <f aca="false">L96</f>
        <v>0</v>
      </c>
      <c r="M97" s="6" t="n">
        <f aca="false">M96</f>
        <v>100</v>
      </c>
      <c r="N97" s="6" t="n">
        <f aca="false">N96</f>
        <v>100</v>
      </c>
      <c r="O97" s="6" t="n">
        <f aca="false">O96</f>
        <v>100</v>
      </c>
      <c r="P97" s="6" t="n">
        <f aca="false">P96</f>
        <v>100</v>
      </c>
      <c r="Q97" s="6" t="n">
        <f aca="false">Q96</f>
        <v>52.125840560208</v>
      </c>
      <c r="R97" s="6" t="n">
        <f aca="false">R96</f>
        <v>0</v>
      </c>
      <c r="S97" s="6" t="n">
        <f aca="false">S96</f>
        <v>0</v>
      </c>
      <c r="T97" s="6" t="n">
        <f aca="false">T96</f>
        <v>0</v>
      </c>
      <c r="U97" s="6" t="n">
        <f aca="false">U96</f>
        <v>0</v>
      </c>
      <c r="V97" s="6" t="n">
        <f aca="false">V96</f>
        <v>0</v>
      </c>
      <c r="W97" s="6" t="n">
        <f aca="false">W96</f>
        <v>100</v>
      </c>
      <c r="X97" s="6" t="n">
        <f aca="false">X96</f>
        <v>100</v>
      </c>
      <c r="Y97" s="6" t="n">
        <f aca="false">Y96</f>
        <v>100</v>
      </c>
      <c r="Z97" s="6" t="n">
        <f aca="false">Z96</f>
        <v>100</v>
      </c>
      <c r="AA97" s="6" t="n">
        <f aca="false">AA96</f>
        <v>100</v>
      </c>
      <c r="AB97" s="6" t="n">
        <f aca="false">AB96</f>
        <v>100</v>
      </c>
      <c r="AC97" s="6" t="n">
        <f aca="false">AC96</f>
        <v>100</v>
      </c>
      <c r="AD97" s="6" t="n">
        <f aca="false">AD96</f>
        <v>4.20250642514105</v>
      </c>
      <c r="AE97" s="6" t="n">
        <f aca="false">AE96</f>
        <v>0</v>
      </c>
      <c r="AF97" s="6" t="n">
        <f aca="false">AF96</f>
        <v>0</v>
      </c>
      <c r="AG97" s="6" t="n">
        <f aca="false">AG96</f>
        <v>100</v>
      </c>
      <c r="AH97" s="6" t="n">
        <f aca="false">AH96</f>
        <v>100</v>
      </c>
      <c r="AI97" s="6" t="n">
        <f aca="false">AI96</f>
        <v>100</v>
      </c>
      <c r="AJ97" s="6" t="n">
        <f aca="false">AJ96</f>
        <v>100</v>
      </c>
      <c r="AK97" s="6" t="n">
        <f aca="false">AK96</f>
        <v>100</v>
      </c>
      <c r="AL97" s="6" t="n">
        <f aca="false">AL96</f>
        <v>100</v>
      </c>
      <c r="AM97" s="6" t="n">
        <f aca="false">AM96</f>
        <v>100</v>
      </c>
      <c r="AN97" s="6" t="n">
        <f aca="false">AN96</f>
        <v>100</v>
      </c>
      <c r="AO97" s="6" t="n">
        <f aca="false">AO96</f>
        <v>87.346924493812</v>
      </c>
      <c r="AP97" s="6" t="n">
        <f aca="false">AP96</f>
        <v>0</v>
      </c>
      <c r="AQ97" s="6" t="n">
        <f aca="false">AQ96</f>
        <v>100</v>
      </c>
      <c r="AR97" s="6" t="n">
        <f aca="false">AR96</f>
        <v>100</v>
      </c>
      <c r="AS97" s="6" t="n">
        <f aca="false">AS96</f>
        <v>100</v>
      </c>
      <c r="AT97" s="6" t="n">
        <f aca="false">AT96</f>
        <v>100</v>
      </c>
      <c r="AU97" s="6" t="n">
        <f aca="false">AU96</f>
        <v>100</v>
      </c>
      <c r="AV97" s="6" t="n">
        <f aca="false">AV96</f>
        <v>100</v>
      </c>
      <c r="AW97" s="6" t="n">
        <f aca="false">AW96</f>
        <v>100</v>
      </c>
      <c r="AX97" s="6" t="n">
        <f aca="false">AX96</f>
        <v>100</v>
      </c>
      <c r="AY97" s="6" t="n">
        <f aca="false">AY96</f>
        <v>100</v>
      </c>
      <c r="AZ97" s="6" t="n">
        <f aca="false">AZ96</f>
        <v>83.631643083466</v>
      </c>
      <c r="BA97" s="6" t="n">
        <f aca="false">BA96</f>
        <v>100</v>
      </c>
      <c r="BB97" s="6" t="n">
        <f aca="false">BB96</f>
        <v>100</v>
      </c>
      <c r="BC97" s="6" t="n">
        <f aca="false">BC96</f>
        <v>100</v>
      </c>
      <c r="BD97" s="6" t="n">
        <f aca="false">BD96</f>
        <v>100</v>
      </c>
      <c r="BE97" s="6" t="n">
        <f aca="false">BE96</f>
        <v>100</v>
      </c>
      <c r="BF97" s="6" t="n">
        <f aca="false">BF96</f>
        <v>100</v>
      </c>
      <c r="BG97" s="6" t="n">
        <f aca="false">BG96</f>
        <v>100</v>
      </c>
      <c r="BH97" s="6" t="n">
        <f aca="false">BH96</f>
        <v>100</v>
      </c>
      <c r="BI97" s="6" t="n">
        <f aca="false">BI96</f>
        <v>100</v>
      </c>
      <c r="BJ97" s="6" t="n">
        <f aca="false">BJ96</f>
        <v>83.631643083466</v>
      </c>
      <c r="BK97" s="6" t="n">
        <f aca="false">BK96</f>
        <v>100</v>
      </c>
      <c r="BL97" s="6" t="n">
        <f aca="false">BL96</f>
        <v>100</v>
      </c>
      <c r="BM97" s="6" t="n">
        <f aca="false">BM96</f>
        <v>100</v>
      </c>
      <c r="BN97" s="6" t="n">
        <f aca="false">BN96</f>
        <v>100</v>
      </c>
      <c r="BO97" s="6" t="n">
        <f aca="false">BO96</f>
        <v>100</v>
      </c>
      <c r="BP97" s="6" t="n">
        <f aca="false">BP96</f>
        <v>100</v>
      </c>
      <c r="BQ97" s="6" t="n">
        <f aca="false">BQ96</f>
        <v>100</v>
      </c>
      <c r="BR97" s="6" t="n">
        <f aca="false">BR96</f>
        <v>100</v>
      </c>
      <c r="BS97" s="6" t="n">
        <f aca="false">BS96</f>
        <v>87.346924493812</v>
      </c>
      <c r="BT97" s="6" t="n">
        <f aca="false">BT96</f>
        <v>0</v>
      </c>
      <c r="BU97" s="6" t="n">
        <f aca="false">BU96</f>
        <v>100</v>
      </c>
      <c r="BV97" s="6" t="n">
        <f aca="false">BV96</f>
        <v>100</v>
      </c>
      <c r="BW97" s="6" t="n">
        <f aca="false">BW96</f>
        <v>100</v>
      </c>
      <c r="BX97" s="6" t="n">
        <f aca="false">BX96</f>
        <v>100</v>
      </c>
      <c r="BY97" s="6" t="n">
        <f aca="false">BY96</f>
        <v>100</v>
      </c>
      <c r="BZ97" s="6" t="n">
        <f aca="false">BZ96</f>
        <v>100</v>
      </c>
      <c r="CA97" s="6" t="n">
        <f aca="false">CA96</f>
        <v>100</v>
      </c>
      <c r="CB97" s="6" t="n">
        <f aca="false">CB96</f>
        <v>4.20250642514105</v>
      </c>
      <c r="CC97" s="6" t="n">
        <f aca="false">CC96</f>
        <v>0</v>
      </c>
      <c r="CD97" s="6" t="n">
        <f aca="false">CD96</f>
        <v>0</v>
      </c>
      <c r="CE97" s="6" t="n">
        <f aca="false">CE96</f>
        <v>100</v>
      </c>
      <c r="CF97" s="6" t="n">
        <f aca="false">CF96</f>
        <v>100</v>
      </c>
      <c r="CG97" s="6" t="n">
        <f aca="false">CG96</f>
        <v>100</v>
      </c>
      <c r="CH97" s="6" t="n">
        <f aca="false">CH96</f>
        <v>100</v>
      </c>
      <c r="CI97" s="6" t="n">
        <f aca="false">CI96</f>
        <v>52.125840560209</v>
      </c>
      <c r="CJ97" s="6" t="n">
        <f aca="false">CJ96</f>
        <v>0</v>
      </c>
      <c r="CK97" s="6" t="n">
        <f aca="false">CK96</f>
        <v>0</v>
      </c>
      <c r="CL97" s="6" t="n">
        <f aca="false">CL96</f>
        <v>0</v>
      </c>
      <c r="CM97" s="6" t="n">
        <f aca="false">CM96</f>
        <v>0</v>
      </c>
      <c r="CN97" s="6" t="n">
        <f aca="false">CN96</f>
        <v>0</v>
      </c>
      <c r="CO97" s="6" t="n">
        <f aca="false">CO96</f>
        <v>100</v>
      </c>
      <c r="CP97" s="6" t="n">
        <f aca="false">CP96</f>
        <v>55.791947275279</v>
      </c>
      <c r="CQ97" s="6" t="n">
        <f aca="false">CQ96</f>
        <v>0</v>
      </c>
      <c r="CR97" s="6" t="n">
        <f aca="false">CR96</f>
        <v>0</v>
      </c>
      <c r="CS97" s="6" t="n">
        <f aca="false">CS96</f>
        <v>0</v>
      </c>
      <c r="CT97" s="6" t="n">
        <f aca="false">CT96</f>
        <v>0</v>
      </c>
      <c r="CU97" s="6" t="n">
        <f aca="false">CU96</f>
        <v>0</v>
      </c>
      <c r="CV97" s="6" t="n">
        <f aca="false">CV96</f>
        <v>0</v>
      </c>
      <c r="CW97" s="6" t="n">
        <f aca="false">CW96</f>
        <v>0</v>
      </c>
      <c r="CX97" s="6" t="n">
        <f aca="false">CX96</f>
        <v>0</v>
      </c>
    </row>
    <row r="98" customFormat="false" ht="12.8" hidden="false" customHeight="false" outlineLevel="0" collapsed="false">
      <c r="C98" s="6"/>
      <c r="E98" s="6"/>
      <c r="G98" s="6"/>
      <c r="H98" s="6"/>
      <c r="J98" s="6"/>
      <c r="L98" s="6"/>
      <c r="M98" s="6"/>
      <c r="O98" s="6"/>
      <c r="P98" s="1"/>
      <c r="Q98" s="6"/>
      <c r="R98" s="6"/>
      <c r="T98" s="6"/>
      <c r="V98" s="6"/>
      <c r="W98" s="6"/>
      <c r="Y98" s="6"/>
      <c r="AA98" s="6"/>
      <c r="AB98" s="6"/>
      <c r="AD98" s="6"/>
      <c r="AF98" s="6"/>
      <c r="AG98" s="6"/>
      <c r="AI98" s="6"/>
      <c r="AK98" s="6"/>
      <c r="AL98" s="6"/>
      <c r="AN98" s="6"/>
      <c r="AP98" s="6"/>
      <c r="AQ98" s="6"/>
      <c r="AS98" s="6"/>
      <c r="AU98" s="6"/>
      <c r="AV98" s="6"/>
      <c r="AX98" s="6"/>
      <c r="AZ98" s="6"/>
      <c r="BA98" s="6"/>
      <c r="BC98" s="6"/>
      <c r="BE98" s="6"/>
      <c r="BF98" s="6"/>
      <c r="BH98" s="6"/>
      <c r="BJ98" s="6"/>
      <c r="BK98" s="6"/>
      <c r="BM98" s="6"/>
      <c r="BO98" s="6"/>
      <c r="BP98" s="6"/>
      <c r="BR98" s="6"/>
      <c r="BT98" s="6"/>
      <c r="BU98" s="6"/>
      <c r="BW98" s="6"/>
      <c r="BY98" s="6"/>
      <c r="BZ98" s="6"/>
      <c r="CB98" s="6"/>
      <c r="CD98" s="6"/>
      <c r="CE98" s="6"/>
      <c r="CG98" s="6"/>
      <c r="CI98" s="6"/>
      <c r="CJ98" s="6"/>
      <c r="CL98" s="6"/>
      <c r="CN98" s="6"/>
      <c r="CO98" s="6"/>
      <c r="CQ98" s="6"/>
      <c r="CS98" s="6"/>
      <c r="CT98" s="6"/>
      <c r="CV98" s="6"/>
      <c r="CX98" s="6"/>
      <c r="CY98" s="6"/>
      <c r="CZ98" s="1"/>
      <c r="DA98" s="6"/>
      <c r="DB98" s="1"/>
      <c r="DC98" s="6"/>
      <c r="DD98" s="6"/>
      <c r="DE98" s="1"/>
      <c r="DF98" s="6"/>
      <c r="DG98" s="1"/>
      <c r="DH98" s="6"/>
      <c r="DI98" s="6"/>
      <c r="DJ98" s="1"/>
      <c r="DK98" s="6"/>
      <c r="DL98" s="1"/>
      <c r="DM98" s="6"/>
      <c r="DN98" s="6"/>
      <c r="DO98" s="1"/>
      <c r="DP98" s="6"/>
      <c r="DQ98" s="1"/>
      <c r="DR98" s="6"/>
      <c r="DS98" s="6"/>
      <c r="DT98" s="1"/>
      <c r="DU98" s="6"/>
      <c r="DV98" s="1"/>
      <c r="DW98" s="6"/>
      <c r="DX98" s="6"/>
      <c r="DY98" s="1"/>
      <c r="DZ98" s="6"/>
      <c r="EA98" s="1"/>
      <c r="EB98" s="6"/>
      <c r="EC98" s="6"/>
      <c r="ED98" s="1"/>
      <c r="EE98" s="6"/>
      <c r="EF98" s="1"/>
      <c r="EG98" s="6"/>
      <c r="EH98" s="6"/>
      <c r="EI98" s="1"/>
      <c r="EJ98" s="6"/>
      <c r="EK98" s="1"/>
      <c r="EL98" s="6"/>
      <c r="EM98" s="6"/>
      <c r="EN98" s="1"/>
      <c r="EO98" s="6"/>
      <c r="EP98" s="1"/>
      <c r="EQ98" s="6"/>
      <c r="ER98" s="6"/>
      <c r="ES98" s="1"/>
      <c r="ET98" s="6"/>
      <c r="EU98" s="1"/>
      <c r="EV98" s="6"/>
      <c r="EW98" s="6"/>
      <c r="EX98" s="1"/>
      <c r="EY98" s="6"/>
      <c r="EZ98" s="1"/>
      <c r="FA98" s="6"/>
      <c r="FB98" s="6"/>
      <c r="FC98" s="1"/>
      <c r="FD98" s="6"/>
      <c r="FE98" s="1"/>
      <c r="FF98" s="6"/>
      <c r="FG98" s="6"/>
      <c r="FH98" s="1"/>
      <c r="FI98" s="6"/>
      <c r="FJ98" s="1"/>
      <c r="FK98" s="6"/>
      <c r="FL98" s="6"/>
      <c r="FM98" s="1"/>
      <c r="FN98" s="6"/>
      <c r="FO98" s="1"/>
      <c r="FP98" s="6"/>
      <c r="FQ98" s="6"/>
      <c r="FR98" s="1"/>
      <c r="FS98" s="6"/>
      <c r="FT98" s="1"/>
      <c r="FU98" s="6"/>
      <c r="FV98" s="6"/>
      <c r="FW98" s="1"/>
      <c r="FX98" s="6"/>
      <c r="FY98" s="1"/>
      <c r="FZ98" s="6"/>
      <c r="GA98" s="6"/>
      <c r="GB98" s="1"/>
      <c r="GC98" s="6"/>
    </row>
    <row r="99" customFormat="false" ht="12.8" hidden="false" customHeight="false" outlineLevel="0" collapsed="false"/>
    <row r="101" customFormat="false" ht="12.8" hidden="false" customHeight="false" outlineLevel="0" collapsed="false">
      <c r="B101" s="1" t="n">
        <v>0</v>
      </c>
      <c r="C101" s="1" t="n">
        <v>1</v>
      </c>
      <c r="D101" s="1" t="n">
        <v>2</v>
      </c>
      <c r="E101" s="1" t="n">
        <v>3</v>
      </c>
      <c r="F101" s="1" t="n">
        <v>4</v>
      </c>
      <c r="G101" s="1" t="n">
        <v>5</v>
      </c>
      <c r="N101" s="1" t="s">
        <v>0</v>
      </c>
      <c r="O101" s="1" t="s">
        <v>1</v>
      </c>
      <c r="R101" s="1" t="s">
        <v>2</v>
      </c>
      <c r="S101" s="1" t="s">
        <v>3</v>
      </c>
      <c r="T101" s="1" t="s">
        <v>4</v>
      </c>
      <c r="U101" s="1" t="s">
        <v>5</v>
      </c>
    </row>
    <row r="102" customFormat="false" ht="12.8" hidden="false" customHeight="false" outlineLevel="0" collapsed="false">
      <c r="B102" s="1" t="n">
        <f aca="false">B101*(PI()/5)</f>
        <v>0</v>
      </c>
      <c r="C102" s="1" t="n">
        <f aca="false">C101*(PI()/5)</f>
        <v>0.628318530717959</v>
      </c>
      <c r="D102" s="1" t="n">
        <f aca="false">D101*(PI()/5)</f>
        <v>1.25663706143592</v>
      </c>
      <c r="E102" s="1" t="n">
        <f aca="false">E101*(PI()/5)</f>
        <v>1.88495559215388</v>
      </c>
      <c r="F102" s="1" t="n">
        <f aca="false">F101*(PI()/5)</f>
        <v>2.51327412287183</v>
      </c>
      <c r="G102" s="1" t="n">
        <f aca="false">G101*(PI()/5)</f>
        <v>3.14159265358979</v>
      </c>
      <c r="N102" s="1" t="n">
        <f aca="false">PI()/10</f>
        <v>0.314159265358979</v>
      </c>
      <c r="O102" s="1" t="n">
        <f aca="false">PI()/5</f>
        <v>0.628318530717959</v>
      </c>
      <c r="R102" s="1" t="n">
        <v>1</v>
      </c>
      <c r="S102" s="1" t="n">
        <f aca="false">$N$4*(SIN(C102)-SIN(B102))/2+SIN(B102)*$N$4</f>
        <v>0.0923290915245227</v>
      </c>
      <c r="T102" s="2" t="n">
        <f aca="false">S102/$O$4</f>
        <v>0.293892626146237</v>
      </c>
      <c r="U102" s="3" t="n">
        <f aca="false">T102*$O$6</f>
        <v>2938.92626146237</v>
      </c>
    </row>
    <row r="103" customFormat="false" ht="12.8" hidden="false" customHeight="false" outlineLevel="0" collapsed="false">
      <c r="A103" s="1" t="s">
        <v>6</v>
      </c>
      <c r="B103" s="1" t="n">
        <f aca="false">SIN(B102)</f>
        <v>0</v>
      </c>
      <c r="C103" s="1" t="n">
        <f aca="false">SIN(C102)</f>
        <v>0.587785252292473</v>
      </c>
      <c r="D103" s="1" t="n">
        <f aca="false">SIN(D102)</f>
        <v>0.951056516295154</v>
      </c>
      <c r="E103" s="1" t="n">
        <f aca="false">SIN(E102)</f>
        <v>0.951056516295154</v>
      </c>
      <c r="F103" s="1" t="n">
        <f aca="false">SIN(F102)</f>
        <v>0.587785252292473</v>
      </c>
      <c r="G103" s="1" t="n">
        <f aca="false">SIN(G102)</f>
        <v>1.22464679914735E-016</v>
      </c>
      <c r="R103" s="1" t="n">
        <v>2</v>
      </c>
      <c r="S103" s="1" t="n">
        <f aca="false">$N$4*(SIN(D102)-SIN(C102))/2+SIN(C102)*$N$4</f>
        <v>0.2417206997616</v>
      </c>
      <c r="T103" s="2" t="n">
        <f aca="false">S103/$O$4</f>
        <v>0.769420884293813</v>
      </c>
      <c r="U103" s="3" t="n">
        <f aca="false">T103*$O$6</f>
        <v>7694.20884293813</v>
      </c>
    </row>
    <row r="104" customFormat="false" ht="12.8" hidden="false" customHeight="false" outlineLevel="0" collapsed="false">
      <c r="A104" s="1" t="s">
        <v>7</v>
      </c>
      <c r="B104" s="1" t="n">
        <f aca="false">COS(B102)-COS(C102)</f>
        <v>0.190983005625053</v>
      </c>
      <c r="C104" s="1" t="n">
        <f aca="false">COS(C102)-COS(D102)</f>
        <v>0.5</v>
      </c>
      <c r="D104" s="1" t="n">
        <f aca="false">COS(D102)-COS(E102)</f>
        <v>0.618033988749895</v>
      </c>
      <c r="E104" s="1" t="n">
        <f aca="false">COS(E102)-COS(F102)</f>
        <v>0.5</v>
      </c>
      <c r="F104" s="1" t="n">
        <f aca="false">COS(F102)-COS(G102)</f>
        <v>0.190983005625053</v>
      </c>
      <c r="G104" s="1" t="n">
        <f aca="false">COS(G102)-(-1)</f>
        <v>0</v>
      </c>
      <c r="N104" s="1" t="s">
        <v>8</v>
      </c>
      <c r="O104" s="1" t="n">
        <v>5000</v>
      </c>
      <c r="R104" s="1" t="n">
        <v>3</v>
      </c>
      <c r="S104" s="1" t="n">
        <f aca="false">$N$4*(SIN(E102)-SIN(D102))/2+SIN(D102)*$N$4</f>
        <v>0.298783216474155</v>
      </c>
      <c r="T104" s="2" t="n">
        <f aca="false">S104/$O$4</f>
        <v>0.951056516295153</v>
      </c>
      <c r="U104" s="3" t="n">
        <f aca="false">T104*$O$6</f>
        <v>9510.56516295153</v>
      </c>
    </row>
    <row r="105" customFormat="false" ht="12.8" hidden="false" customHeight="false" outlineLevel="0" collapsed="false">
      <c r="A105" s="1" t="s">
        <v>9</v>
      </c>
      <c r="B105" s="2" t="n">
        <f aca="false">B104/$O$102</f>
        <v>0.303958893917744</v>
      </c>
      <c r="C105" s="2" t="n">
        <f aca="false">C104/$O$102</f>
        <v>0.795774715459477</v>
      </c>
      <c r="D105" s="2" t="n">
        <f aca="false">D104/$O$102</f>
        <v>0.983631643083466</v>
      </c>
      <c r="E105" s="2" t="n">
        <f aca="false">E104/$O$102</f>
        <v>0.795774715459477</v>
      </c>
      <c r="F105" s="2" t="n">
        <f aca="false">F104/$O$102</f>
        <v>0.303958893917744</v>
      </c>
      <c r="G105" s="2" t="n">
        <f aca="false">G104/$O$102</f>
        <v>0</v>
      </c>
      <c r="H105" s="2"/>
      <c r="I105" s="2"/>
      <c r="J105" s="2"/>
      <c r="K105" s="2"/>
      <c r="L105" s="2"/>
      <c r="N105" s="1" t="s">
        <v>10</v>
      </c>
      <c r="O105" s="1" t="n">
        <v>50</v>
      </c>
      <c r="R105" s="1" t="n">
        <v>4</v>
      </c>
      <c r="S105" s="1" t="n">
        <f aca="false">$N$4*(SIN(F102)-SIN(E102))/2+SIN(E102)*$N$4</f>
        <v>0.2417206997616</v>
      </c>
      <c r="T105" s="2" t="n">
        <f aca="false">S105/$O$4</f>
        <v>0.769420884293814</v>
      </c>
      <c r="U105" s="3" t="n">
        <f aca="false">T105*$O$6</f>
        <v>7694.20884293814</v>
      </c>
    </row>
    <row r="106" customFormat="false" ht="12.8" hidden="false" customHeight="false" outlineLevel="0" collapsed="false">
      <c r="A106" s="1" t="s">
        <v>11</v>
      </c>
      <c r="B106" s="1" t="s">
        <v>12</v>
      </c>
      <c r="C106" s="1" t="s">
        <v>13</v>
      </c>
      <c r="D106" s="1" t="s">
        <v>14</v>
      </c>
      <c r="E106" s="1" t="s">
        <v>15</v>
      </c>
      <c r="F106" s="1" t="s">
        <v>16</v>
      </c>
      <c r="G106" s="1" t="s">
        <v>17</v>
      </c>
      <c r="N106" s="1" t="s">
        <v>22</v>
      </c>
      <c r="O106" s="1" t="n">
        <f aca="false">1/(2*PI()*O105)</f>
        <v>0.00318309886183791</v>
      </c>
      <c r="R106" s="1" t="n">
        <v>5</v>
      </c>
      <c r="S106" s="1" t="n">
        <f aca="false">$N$4*(SIN(G102)-SIN(F102))/2+SIN(F102)*$N$4</f>
        <v>0.0923290915245228</v>
      </c>
      <c r="T106" s="2" t="n">
        <f aca="false">S106/$O$4</f>
        <v>0.293892626146237</v>
      </c>
      <c r="U106" s="3" t="n">
        <f aca="false">T106*$O$6</f>
        <v>2938.92626146237</v>
      </c>
    </row>
    <row r="107" customFormat="false" ht="12.8" hidden="false" customHeight="false" outlineLevel="0" collapsed="false">
      <c r="A107" s="1" t="s">
        <v>23</v>
      </c>
      <c r="B107" s="1" t="n">
        <v>0</v>
      </c>
      <c r="C107" s="1" t="n">
        <v>1</v>
      </c>
      <c r="D107" s="1" t="n">
        <v>2</v>
      </c>
      <c r="E107" s="1" t="n">
        <v>3</v>
      </c>
      <c r="F107" s="1" t="n">
        <v>4</v>
      </c>
      <c r="G107" s="1" t="n">
        <v>5</v>
      </c>
      <c r="N107" s="1" t="s">
        <v>24</v>
      </c>
      <c r="O107" s="1" t="n">
        <f aca="false">O106/10000</f>
        <v>3.18309886183791E-007</v>
      </c>
      <c r="P107" s="1" t="s">
        <v>25</v>
      </c>
      <c r="R107" s="1" t="n">
        <v>6</v>
      </c>
      <c r="S107" s="1" t="n">
        <f aca="false">$N$4*(SIN(H102)-SIN(G102))/2+SIN(G102)*$N$4</f>
        <v>1.92367069372179E-017</v>
      </c>
      <c r="T107" s="2" t="n">
        <f aca="false">S107/$O$4</f>
        <v>6.12323399573677E-017</v>
      </c>
      <c r="U107" s="3" t="n">
        <f aca="false">T107*$O$6</f>
        <v>6.12323399573677E-013</v>
      </c>
    </row>
    <row r="108" customFormat="false" ht="12.8" hidden="false" customHeight="false" outlineLevel="0" collapsed="false">
      <c r="A108" s="1" t="s">
        <v>26</v>
      </c>
      <c r="B108" s="3" t="n">
        <f aca="false">B105*$O$104</f>
        <v>1519.79446958872</v>
      </c>
      <c r="C108" s="3" t="n">
        <f aca="false">C105*$O$104</f>
        <v>3978.87357729738</v>
      </c>
      <c r="D108" s="3" t="n">
        <f aca="false">D105*$O$104</f>
        <v>4918.15821541733</v>
      </c>
      <c r="E108" s="3" t="n">
        <f aca="false">E105*$O$104</f>
        <v>3978.87357729738</v>
      </c>
      <c r="F108" s="3" t="n">
        <f aca="false">F105*$O$104</f>
        <v>1519.79446958872</v>
      </c>
      <c r="G108" s="3" t="n">
        <f aca="false">G105*$O$104</f>
        <v>0</v>
      </c>
      <c r="H108" s="3"/>
      <c r="I108" s="3"/>
      <c r="J108" s="3"/>
      <c r="K108" s="3"/>
      <c r="L108" s="3"/>
      <c r="N108" s="1" t="s">
        <v>27</v>
      </c>
      <c r="O108" s="1" t="n">
        <f aca="false">10000*0.000047</f>
        <v>0.47</v>
      </c>
      <c r="R108" s="1" t="n">
        <v>7</v>
      </c>
      <c r="S108" s="1" t="n">
        <f aca="false">$N$4*(SIN(I102)-SIN(H102))/2+SIN(H102)*$N$4</f>
        <v>0</v>
      </c>
      <c r="T108" s="2" t="n">
        <f aca="false">S108/$O$4</f>
        <v>0</v>
      </c>
      <c r="U108" s="3" t="n">
        <f aca="false">T108*$O$6</f>
        <v>0</v>
      </c>
    </row>
    <row r="109" customFormat="false" ht="12.8" hidden="false" customHeight="false" outlineLevel="0" collapsed="false">
      <c r="O109" s="1" t="n">
        <f aca="false">1/O108</f>
        <v>2.12765957446809</v>
      </c>
      <c r="R109" s="1" t="n">
        <v>8</v>
      </c>
      <c r="S109" s="1" t="n">
        <f aca="false">$N$4*(SIN(J102)-SIN(I102))/2+SIN(I102)*$N$4</f>
        <v>0</v>
      </c>
      <c r="T109" s="2" t="n">
        <f aca="false">S109/$O$4</f>
        <v>0</v>
      </c>
      <c r="U109" s="3" t="n">
        <f aca="false">T109*$O$6</f>
        <v>0</v>
      </c>
    </row>
    <row r="110" customFormat="false" ht="12.8" hidden="false" customHeight="false" outlineLevel="0" collapsed="false">
      <c r="R110" s="1" t="n">
        <v>9</v>
      </c>
      <c r="S110" s="1" t="n">
        <f aca="false">$N$4*(SIN(K102)-SIN(J102))/2+SIN(J102)*$N$4</f>
        <v>0</v>
      </c>
      <c r="T110" s="2" t="n">
        <f aca="false">S110/$O$4</f>
        <v>0</v>
      </c>
      <c r="U110" s="3" t="n">
        <f aca="false">T110*$O$6</f>
        <v>0</v>
      </c>
    </row>
    <row r="111" customFormat="false" ht="12.8" hidden="false" customHeight="false" outlineLevel="0" collapsed="false">
      <c r="R111" s="1" t="n">
        <v>10</v>
      </c>
      <c r="S111" s="1" t="n">
        <f aca="false">$N$4*(SIN(L102)-SIN(K102))/2+SIN(K102)*$N$4</f>
        <v>0</v>
      </c>
      <c r="T111" s="2" t="n">
        <f aca="false">S111/$O$4</f>
        <v>0</v>
      </c>
      <c r="U111" s="3" t="n">
        <f aca="false">T111*$O$6</f>
        <v>0</v>
      </c>
    </row>
    <row r="143" customFormat="false" ht="12.8" hidden="false" customHeight="false" outlineLevel="0" collapsed="false">
      <c r="B143" s="1" t="str">
        <f aca="false">B106</f>
        <v>Intervalo 1</v>
      </c>
      <c r="C143" s="2" t="n">
        <f aca="false">B105</f>
        <v>0.303958893917744</v>
      </c>
      <c r="D143" s="1" t="n">
        <f aca="false">C143*100</f>
        <v>30.3958893917744</v>
      </c>
      <c r="M143" s="1"/>
    </row>
    <row r="144" customFormat="false" ht="12.8" hidden="false" customHeight="false" outlineLevel="0" collapsed="false">
      <c r="B144" s="1" t="n">
        <v>0</v>
      </c>
      <c r="C144" s="1" t="n">
        <v>100</v>
      </c>
      <c r="D144" s="1" t="n">
        <v>200</v>
      </c>
      <c r="E144" s="1" t="n">
        <v>300</v>
      </c>
      <c r="F144" s="1" t="n">
        <v>400</v>
      </c>
      <c r="G144" s="1" t="n">
        <v>500</v>
      </c>
      <c r="M144" s="1" t="s">
        <v>29</v>
      </c>
    </row>
    <row r="145" customFormat="false" ht="12.8" hidden="false" customHeight="false" outlineLevel="0" collapsed="false">
      <c r="D145" s="1" t="n">
        <f aca="false">D143-20</f>
        <v>10.3958893917744</v>
      </c>
      <c r="E145" s="1" t="n">
        <f aca="false">D145-20</f>
        <v>-9.60411060822563</v>
      </c>
      <c r="F145" s="1" t="n">
        <f aca="false">E145-20</f>
        <v>-29.6041106082256</v>
      </c>
      <c r="G145" s="1" t="n">
        <f aca="false">F145-20</f>
        <v>-49.6041106082256</v>
      </c>
      <c r="M145" s="1"/>
    </row>
    <row r="146" customFormat="false" ht="12.8" hidden="false" customHeight="false" outlineLevel="0" collapsed="false">
      <c r="C146" s="5" t="n">
        <f aca="false">IF(D143&gt;20,100,D143)</f>
        <v>100</v>
      </c>
      <c r="D146" s="5" t="n">
        <f aca="false">IF(D145&gt;20,100,IF(D145&lt;0,0,D145*10))</f>
        <v>103.958893917744</v>
      </c>
      <c r="E146" s="5" t="n">
        <f aca="false">IF(E145&gt;10,100,IF(E145&lt;0,0,E145*10))</f>
        <v>0</v>
      </c>
      <c r="F146" s="5" t="n">
        <f aca="false">IF(F145&gt;10,100,IF(F145&lt;0,0,F145*10))</f>
        <v>0</v>
      </c>
      <c r="G146" s="5" t="n">
        <f aca="false">IF(G145&gt;10,100,IF(G145&lt;0,0,G145*10))</f>
        <v>0</v>
      </c>
      <c r="H146" s="5"/>
      <c r="I146" s="5"/>
      <c r="J146" s="5"/>
      <c r="K146" s="5"/>
      <c r="L146" s="5"/>
      <c r="M146" s="1" t="s">
        <v>30</v>
      </c>
    </row>
    <row r="149" customFormat="false" ht="12.8" hidden="false" customHeight="false" outlineLevel="0" collapsed="false">
      <c r="B149" s="1" t="str">
        <f aca="false">C106</f>
        <v>Intervalo 2</v>
      </c>
      <c r="C149" s="2" t="n">
        <f aca="false">C105</f>
        <v>0.795774715459477</v>
      </c>
      <c r="D149" s="1" t="n">
        <f aca="false">C149*100</f>
        <v>79.5774715459477</v>
      </c>
      <c r="M149" s="1"/>
    </row>
    <row r="150" customFormat="false" ht="12.8" hidden="false" customHeight="false" outlineLevel="0" collapsed="false">
      <c r="B150" s="1" t="n">
        <v>0</v>
      </c>
      <c r="C150" s="1" t="n">
        <v>100</v>
      </c>
      <c r="D150" s="1" t="n">
        <v>200</v>
      </c>
      <c r="E150" s="1" t="n">
        <v>300</v>
      </c>
      <c r="F150" s="1" t="n">
        <v>400</v>
      </c>
      <c r="G150" s="1" t="n">
        <v>500</v>
      </c>
      <c r="M150" s="1" t="s">
        <v>29</v>
      </c>
    </row>
    <row r="151" customFormat="false" ht="12.8" hidden="false" customHeight="false" outlineLevel="0" collapsed="false">
      <c r="D151" s="1" t="n">
        <f aca="false">D149-20</f>
        <v>59.5774715459477</v>
      </c>
      <c r="E151" s="1" t="n">
        <f aca="false">D151-20</f>
        <v>39.5774715459477</v>
      </c>
      <c r="F151" s="1" t="n">
        <f aca="false">E151-20</f>
        <v>19.5774715459477</v>
      </c>
      <c r="G151" s="1" t="n">
        <f aca="false">F151-20</f>
        <v>-0.422528454052326</v>
      </c>
      <c r="N151" s="1" t="s">
        <v>22</v>
      </c>
      <c r="O151" s="1" t="e">
        <f aca="false">1/(2*PI()*O150)</f>
        <v>#DIV/0!</v>
      </c>
      <c r="R151" s="1" t="n">
        <v>5</v>
      </c>
    </row>
    <row r="152" customFormat="false" ht="12.8" hidden="false" customHeight="false" outlineLevel="0" collapsed="false">
      <c r="C152" s="5" t="n">
        <f aca="false">IF(D149&gt;10,100,D149)</f>
        <v>100</v>
      </c>
      <c r="D152" s="5" t="n">
        <f aca="false">IF(D151&gt;10,100,IF(D151&lt;0,0,D151*10))</f>
        <v>100</v>
      </c>
      <c r="E152" s="5" t="n">
        <f aca="false">IF(E151&gt;10,100,IF(E151&lt;0,0,E151*10))</f>
        <v>100</v>
      </c>
      <c r="F152" s="5" t="n">
        <f aca="false">IF(F151&gt;10,100,IF(F151&lt;0,0,F151*10))</f>
        <v>100</v>
      </c>
      <c r="G152" s="5" t="n">
        <f aca="false">IF(G151&gt;10,100,IF(G151&lt;0,0,G151*10))</f>
        <v>0</v>
      </c>
      <c r="N152" s="1" t="s">
        <v>24</v>
      </c>
      <c r="O152" s="1" t="e">
        <f aca="false">O151/10000</f>
        <v>#DIV/0!</v>
      </c>
      <c r="P152" s="1" t="s">
        <v>25</v>
      </c>
      <c r="R152" s="1" t="n">
        <v>6</v>
      </c>
    </row>
    <row r="153" customFormat="false" ht="12.8" hidden="false" customHeight="false" outlineLevel="0" collapsed="false">
      <c r="G153" s="3"/>
      <c r="H153" s="3"/>
      <c r="I153" s="3"/>
      <c r="J153" s="3"/>
      <c r="K153" s="3"/>
      <c r="L153" s="3"/>
      <c r="N153" s="1" t="s">
        <v>27</v>
      </c>
      <c r="O153" s="1" t="n">
        <f aca="false">10000*0.000047</f>
        <v>0.47</v>
      </c>
      <c r="R153" s="1" t="n">
        <v>7</v>
      </c>
    </row>
    <row r="154" customFormat="false" ht="12.8" hidden="false" customHeight="false" outlineLevel="0" collapsed="false">
      <c r="O154" s="1" t="n">
        <f aca="false">1/O153</f>
        <v>2.12765957446809</v>
      </c>
      <c r="R154" s="1" t="n">
        <v>8</v>
      </c>
    </row>
    <row r="155" customFormat="false" ht="12.8" hidden="false" customHeight="false" outlineLevel="0" collapsed="false">
      <c r="B155" s="1" t="str">
        <f aca="false">D106</f>
        <v>Intervalo 3</v>
      </c>
      <c r="C155" s="2" t="n">
        <f aca="false">D105</f>
        <v>0.983631643083466</v>
      </c>
      <c r="D155" s="1" t="n">
        <f aca="false">C155*100</f>
        <v>98.3631643083466</v>
      </c>
      <c r="M155" s="1"/>
    </row>
    <row r="156" customFormat="false" ht="12.8" hidden="false" customHeight="false" outlineLevel="0" collapsed="false">
      <c r="B156" s="1" t="n">
        <v>0</v>
      </c>
      <c r="C156" s="1" t="n">
        <v>100</v>
      </c>
      <c r="D156" s="1" t="n">
        <v>200</v>
      </c>
      <c r="E156" s="1" t="n">
        <v>300</v>
      </c>
      <c r="F156" s="1" t="n">
        <v>400</v>
      </c>
      <c r="G156" s="1" t="n">
        <v>500</v>
      </c>
      <c r="M156" s="1" t="s">
        <v>29</v>
      </c>
    </row>
    <row r="157" customFormat="false" ht="12.8" hidden="false" customHeight="false" outlineLevel="0" collapsed="false">
      <c r="D157" s="1" t="n">
        <f aca="false">D155-10</f>
        <v>88.3631643083466</v>
      </c>
      <c r="E157" s="1" t="n">
        <f aca="false">D157-10</f>
        <v>78.3631643083466</v>
      </c>
      <c r="F157" s="1" t="n">
        <f aca="false">E157-10</f>
        <v>68.3631643083466</v>
      </c>
      <c r="G157" s="1" t="n">
        <f aca="false">F157-10</f>
        <v>58.3631643083466</v>
      </c>
      <c r="M157" s="1"/>
    </row>
    <row r="158" customFormat="false" ht="12.8" hidden="false" customHeight="false" outlineLevel="0" collapsed="false">
      <c r="C158" s="5" t="n">
        <f aca="false">IF(D155&gt;10,100,D155)</f>
        <v>100</v>
      </c>
      <c r="D158" s="5" t="n">
        <f aca="false">IF(D157&gt;10,100,IF(D157&lt;0,0,D157*10))</f>
        <v>100</v>
      </c>
      <c r="E158" s="5" t="n">
        <f aca="false">IF(E157&gt;10,100,IF(E157&lt;0,0,E157*10))</f>
        <v>100</v>
      </c>
      <c r="F158" s="5" t="n">
        <f aca="false">IF(F157&gt;10,100,IF(F157&lt;0,0,F157*10))</f>
        <v>100</v>
      </c>
      <c r="G158" s="5" t="n">
        <f aca="false">IF(G157&gt;10,100,IF(G157&lt;0,0,G157*10))</f>
        <v>100</v>
      </c>
      <c r="H158" s="5"/>
      <c r="I158" s="5"/>
      <c r="J158" s="5"/>
      <c r="K158" s="5"/>
      <c r="L158" s="5"/>
      <c r="M158" s="1" t="s">
        <v>30</v>
      </c>
    </row>
    <row r="161" customFormat="false" ht="12.8" hidden="false" customHeight="false" outlineLevel="0" collapsed="false">
      <c r="B161" s="1" t="str">
        <f aca="false">E106</f>
        <v>Intervalo 4</v>
      </c>
      <c r="C161" s="2" t="n">
        <f aca="false">E105</f>
        <v>0.795774715459477</v>
      </c>
      <c r="D161" s="1" t="n">
        <f aca="false">C161*100</f>
        <v>79.5774715459477</v>
      </c>
      <c r="M161" s="1"/>
    </row>
    <row r="162" customFormat="false" ht="12.8" hidden="false" customHeight="false" outlineLevel="0" collapsed="false">
      <c r="B162" s="1" t="n">
        <v>0</v>
      </c>
      <c r="C162" s="1" t="n">
        <v>100</v>
      </c>
      <c r="D162" s="1" t="n">
        <v>200</v>
      </c>
      <c r="E162" s="1" t="n">
        <v>300</v>
      </c>
      <c r="F162" s="1" t="n">
        <v>400</v>
      </c>
      <c r="G162" s="1" t="n">
        <v>500</v>
      </c>
      <c r="M162" s="1" t="s">
        <v>29</v>
      </c>
    </row>
    <row r="163" customFormat="false" ht="12.8" hidden="false" customHeight="false" outlineLevel="0" collapsed="false">
      <c r="D163" s="1" t="n">
        <f aca="false">D161-10</f>
        <v>69.5774715459477</v>
      </c>
      <c r="E163" s="1" t="n">
        <f aca="false">D163-10</f>
        <v>59.5774715459477</v>
      </c>
      <c r="F163" s="1" t="n">
        <f aca="false">E163-10</f>
        <v>49.5774715459477</v>
      </c>
      <c r="G163" s="1" t="n">
        <f aca="false">F163-10</f>
        <v>39.5774715459477</v>
      </c>
      <c r="M163" s="1"/>
    </row>
    <row r="164" customFormat="false" ht="12.8" hidden="false" customHeight="false" outlineLevel="0" collapsed="false">
      <c r="C164" s="5" t="n">
        <f aca="false">IF(D161&gt;10,100,D161)</f>
        <v>100</v>
      </c>
      <c r="D164" s="5" t="n">
        <f aca="false">IF(D163&gt;10,100,IF(D163&lt;0,0,D163*10))</f>
        <v>100</v>
      </c>
      <c r="E164" s="5" t="n">
        <f aca="false">IF(E163&gt;10,100,IF(E163&lt;0,0,E163*10))</f>
        <v>100</v>
      </c>
      <c r="F164" s="5" t="n">
        <f aca="false">IF(F163&gt;10,100,IF(F163&lt;0,0,F163*10))</f>
        <v>100</v>
      </c>
      <c r="G164" s="5" t="n">
        <f aca="false">IF(G163&gt;10,100,IF(G163&lt;0,0,G163*10))</f>
        <v>100</v>
      </c>
      <c r="H164" s="5"/>
      <c r="I164" s="5"/>
      <c r="J164" s="5"/>
      <c r="K164" s="5"/>
      <c r="L164" s="5"/>
      <c r="M164" s="1" t="s">
        <v>30</v>
      </c>
    </row>
    <row r="166" customFormat="false" ht="12.8" hidden="false" customHeight="false" outlineLevel="0" collapsed="false"/>
    <row r="167" customFormat="false" ht="12.8" hidden="false" customHeight="false" outlineLevel="0" collapsed="false">
      <c r="B167" s="1" t="str">
        <f aca="false">F106</f>
        <v>Intervalo 5</v>
      </c>
      <c r="C167" s="2" t="n">
        <f aca="false">F105</f>
        <v>0.303958893917744</v>
      </c>
      <c r="D167" s="1" t="n">
        <f aca="false">C167*100</f>
        <v>30.3958893917744</v>
      </c>
      <c r="M167" s="1"/>
    </row>
    <row r="168" customFormat="false" ht="12.8" hidden="false" customHeight="false" outlineLevel="0" collapsed="false">
      <c r="B168" s="1" t="n">
        <v>0</v>
      </c>
      <c r="C168" s="1" t="n">
        <v>100</v>
      </c>
      <c r="D168" s="1" t="n">
        <v>200</v>
      </c>
      <c r="E168" s="1" t="n">
        <v>300</v>
      </c>
      <c r="F168" s="1" t="n">
        <v>400</v>
      </c>
      <c r="G168" s="1" t="n">
        <v>500</v>
      </c>
      <c r="M168" s="1" t="s">
        <v>29</v>
      </c>
    </row>
    <row r="169" customFormat="false" ht="12.8" hidden="false" customHeight="false" outlineLevel="0" collapsed="false">
      <c r="D169" s="1" t="n">
        <f aca="false">D167-10</f>
        <v>20.3958893917744</v>
      </c>
      <c r="E169" s="1" t="n">
        <f aca="false">D169-10</f>
        <v>10.3958893917744</v>
      </c>
      <c r="F169" s="1" t="n">
        <f aca="false">E169-10</f>
        <v>0.395889391774382</v>
      </c>
      <c r="G169" s="1" t="n">
        <f aca="false">F169-10</f>
        <v>-9.60411060822562</v>
      </c>
      <c r="M169" s="1"/>
    </row>
    <row r="170" customFormat="false" ht="12.8" hidden="false" customHeight="false" outlineLevel="0" collapsed="false">
      <c r="C170" s="5" t="n">
        <f aca="false">IF(D167&gt;10,100,D167)</f>
        <v>100</v>
      </c>
      <c r="D170" s="5" t="n">
        <f aca="false">IF(D169&gt;10,100,IF(D169&lt;0,0,D169*10))</f>
        <v>100</v>
      </c>
      <c r="E170" s="5" t="n">
        <f aca="false">IF(E169&gt;10,100,IF(E169&lt;0,0,E169*10))</f>
        <v>100</v>
      </c>
      <c r="F170" s="5" t="n">
        <f aca="false">IF(F169&gt;10,100,IF(F169&lt;0,0,F169*10))</f>
        <v>3.95889391774382</v>
      </c>
      <c r="G170" s="5" t="n">
        <f aca="false">IF(G169&gt;10,100,IF(G169&lt;0,0,G169*10))</f>
        <v>0</v>
      </c>
      <c r="H170" s="5"/>
      <c r="I170" s="5"/>
      <c r="J170" s="5"/>
      <c r="K170" s="5"/>
      <c r="L170" s="5"/>
      <c r="M170" s="1" t="s">
        <v>30</v>
      </c>
    </row>
    <row r="173" customFormat="false" ht="12.8" hidden="false" customHeight="false" outlineLevel="0" collapsed="false">
      <c r="B173" s="1" t="str">
        <f aca="false">G106</f>
        <v>Intervalo 6</v>
      </c>
      <c r="C173" s="2" t="n">
        <f aca="false">G105</f>
        <v>0</v>
      </c>
      <c r="D173" s="1" t="n">
        <f aca="false">C173*100</f>
        <v>0</v>
      </c>
      <c r="M173" s="1"/>
    </row>
    <row r="174" customFormat="false" ht="12.8" hidden="false" customHeight="false" outlineLevel="0" collapsed="false">
      <c r="B174" s="1" t="n">
        <v>0</v>
      </c>
      <c r="C174" s="1" t="n">
        <v>100</v>
      </c>
      <c r="D174" s="1" t="n">
        <v>200</v>
      </c>
      <c r="E174" s="1" t="n">
        <v>300</v>
      </c>
      <c r="F174" s="1" t="n">
        <v>400</v>
      </c>
      <c r="G174" s="1" t="n">
        <v>500</v>
      </c>
      <c r="M174" s="1" t="s">
        <v>29</v>
      </c>
    </row>
    <row r="175" customFormat="false" ht="12.8" hidden="false" customHeight="false" outlineLevel="0" collapsed="false">
      <c r="D175" s="1" t="n">
        <f aca="false">D173-10</f>
        <v>-10</v>
      </c>
      <c r="E175" s="1" t="n">
        <f aca="false">D175-10</f>
        <v>-20</v>
      </c>
      <c r="F175" s="1" t="n">
        <f aca="false">E175-10</f>
        <v>-30</v>
      </c>
      <c r="G175" s="1" t="n">
        <f aca="false">F175-10</f>
        <v>-40</v>
      </c>
      <c r="M175" s="1"/>
    </row>
    <row r="176" customFormat="false" ht="12.8" hidden="false" customHeight="false" outlineLevel="0" collapsed="false">
      <c r="C176" s="5" t="n">
        <f aca="false">IF(D173&gt;10,100,D173)</f>
        <v>0</v>
      </c>
      <c r="D176" s="5" t="n">
        <f aca="false">IF(D175&gt;10,100,IF(D175&lt;0,0,D175*10))</f>
        <v>0</v>
      </c>
      <c r="E176" s="5" t="n">
        <f aca="false">IF(E175&gt;10,100,IF(E175&lt;0,0,E175*10))</f>
        <v>0</v>
      </c>
      <c r="F176" s="5" t="n">
        <f aca="false">IF(F175&gt;10,100,IF(F175&lt;0,0,F175*10))</f>
        <v>0</v>
      </c>
      <c r="G176" s="5" t="n">
        <f aca="false">IF(G175&gt;10,100,IF(G175&lt;0,0,G175*10))</f>
        <v>0</v>
      </c>
      <c r="H176" s="5"/>
      <c r="I176" s="5"/>
      <c r="J176" s="5"/>
      <c r="K176" s="5"/>
      <c r="L176" s="5"/>
      <c r="M176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959</TotalTime>
  <Application>LibreOffice/7.4.7.2$Linux_X86_64 LibreOffice_project/40$Build-2</Application>
  <AppVersion>15.0000</AppVersion>
  <Company>Rohde &amp; Schwarz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2011-12-02T08:41:36Z</dcterms:created>
  <dc:creator>Vedovato Mariano Fabian 5ARSP</dc:creator>
  <dc:description/>
  <dc:language>es-AR</dc:language>
  <cp:lastModifiedBy/>
  <cp:lastPrinted>2011-12-20T15:30:34Z</cp:lastPrinted>
  <dcterms:modified xsi:type="dcterms:W3CDTF">2024-02-03T23:13:52Z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64cdcd-3664-4d05-9615-7cbf65a4f0a8_ActionId">
    <vt:lpwstr>1cfc8f64-5e4c-4d71-94f0-9af0fa5689b6</vt:lpwstr>
  </property>
  <property fmtid="{D5CDD505-2E9C-101B-9397-08002B2CF9AE}" pid="3" name="MSIP_Label_9764cdcd-3664-4d05-9615-7cbf65a4f0a8_ContentBits">
    <vt:lpwstr>0</vt:lpwstr>
  </property>
  <property fmtid="{D5CDD505-2E9C-101B-9397-08002B2CF9AE}" pid="4" name="MSIP_Label_9764cdcd-3664-4d05-9615-7cbf65a4f0a8_Enabled">
    <vt:lpwstr>true</vt:lpwstr>
  </property>
  <property fmtid="{D5CDD505-2E9C-101B-9397-08002B2CF9AE}" pid="5" name="MSIP_Label_9764cdcd-3664-4d05-9615-7cbf65a4f0a8_Method">
    <vt:lpwstr>Privileged</vt:lpwstr>
  </property>
  <property fmtid="{D5CDD505-2E9C-101B-9397-08002B2CF9AE}" pid="6" name="MSIP_Label_9764cdcd-3664-4d05-9615-7cbf65a4f0a8_Name">
    <vt:lpwstr>UNRESTRICTED</vt:lpwstr>
  </property>
  <property fmtid="{D5CDD505-2E9C-101B-9397-08002B2CF9AE}" pid="7" name="MSIP_Label_9764cdcd-3664-4d05-9615-7cbf65a4f0a8_SetDate">
    <vt:lpwstr>2023-08-14T13:11:49Z</vt:lpwstr>
  </property>
  <property fmtid="{D5CDD505-2E9C-101B-9397-08002B2CF9AE}" pid="8" name="MSIP_Label_9764cdcd-3664-4d05-9615-7cbf65a4f0a8_SiteId">
    <vt:lpwstr>74bddbd9-705c-456e-aabd-99beb719a2b2</vt:lpwstr>
  </property>
</Properties>
</file>